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ux" sheetId="2" state="hidden" r:id="rId4"/>
    <sheet name="Vértices" sheetId="3" state="visible" r:id="rId5"/>
    <sheet name="Movim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<sst xmlns="http://schemas.openxmlformats.org/spreadsheetml/2006/main" count="160" uniqueCount="118">
  <si>
    <t xml:space="preserve">CURVA DE JUROS DI — ESTRUTURA A TERMO</t>
  </si>
  <si>
    <t xml:space="preserve">Interpolação Flat Forward 252 | Dados: ANBIMA (ETTJ Prefixada)</t>
  </si>
  <si>
    <t xml:space="preserve">DATA REFERÊNCIA</t>
  </si>
  <si>
    <t xml:space="preserve">TAXA CURTA (21 DU)</t>
  </si>
  <si>
    <t xml:space="preserve">TAXA LONGA (2520 DU)</t>
  </si>
  <si>
    <t xml:space="preserve">SPREAD / FORMATO</t>
  </si>
  <si>
    <t xml:space="preserve">20/03/2026</t>
  </si>
  <si>
    <t xml:space="preserve">14.95% a.a.</t>
  </si>
  <si>
    <t xml:space="preserve">14.20% a.a.</t>
  </si>
  <si>
    <t xml:space="preserve">-75 bps | Invertida</t>
  </si>
  <si>
    <t xml:space="preserve">Taxa curta &gt; Taxa longa</t>
  </si>
  <si>
    <t xml:space="preserve">DU</t>
  </si>
  <si>
    <t xml:space="preserve">Curva Spot</t>
  </si>
  <si>
    <t xml:space="preserve">Curva 30d Atrás</t>
  </si>
  <si>
    <t xml:space="preserve">Forward Implícita</t>
  </si>
  <si>
    <t xml:space="preserve">CONSULTA DE TAXA INTERPOLADA</t>
  </si>
  <si>
    <t xml:space="preserve">Selecione o vencimento:</t>
  </si>
  <si>
    <t xml:space="preserve">Mar/2027 (252 DU)</t>
  </si>
  <si>
    <t xml:space="preserve">&lt;&lt; clique aqui</t>
  </si>
  <si>
    <t xml:space="preserve">Taxa interpolada:</t>
  </si>
  <si>
    <t xml:space="preserve">Taxa 30d atrás:</t>
  </si>
  <si>
    <t xml:space="preserve">Dias úteis:</t>
  </si>
  <si>
    <t xml:space="preserve">Variação (bps):</t>
  </si>
  <si>
    <t xml:space="preserve">PRECIFICAÇÃO DE TÍTULO PREFIXADO (LTN)</t>
  </si>
  <si>
    <t xml:space="preserve">Título:</t>
  </si>
  <si>
    <t xml:space="preserve">LTN Set/2027</t>
  </si>
  <si>
    <t xml:space="preserve">DU até vencimento:</t>
  </si>
  <si>
    <t xml:space="preserve">Valor de Face:</t>
  </si>
  <si>
    <t xml:space="preserve">Taxa da curva:</t>
  </si>
  <si>
    <t xml:space="preserve">PREÇO UNITÁRIO (PU)</t>
  </si>
  <si>
    <t xml:space="preserve">DURATION (ANOS)</t>
  </si>
  <si>
    <t xml:space="preserve">DV01 (R$)</t>
  </si>
  <si>
    <t xml:space="preserve">STRESS TEST: CURVA +50 BPS</t>
  </si>
  <si>
    <t xml:space="preserve">Impacto (R$)</t>
  </si>
  <si>
    <t xml:space="preserve">Impacto (%)</t>
  </si>
  <si>
    <t xml:space="preserve">* PU, Duration, DV01 e Stress Test calculados via fórmulas Excel. Altere o título no dropdown para recalcular automaticamente.</t>
  </si>
  <si>
    <t xml:space="preserve">Vencimento</t>
  </si>
  <si>
    <t xml:space="preserve">Taxa Hoje</t>
  </si>
  <si>
    <t xml:space="preserve">Taxa 30d</t>
  </si>
  <si>
    <t xml:space="preserve">Forward</t>
  </si>
  <si>
    <t xml:space="preserve">Venc Titulo</t>
  </si>
  <si>
    <t xml:space="preserve">DU Titulo</t>
  </si>
  <si>
    <t xml:space="preserve">Mai/2026 (42 DU)</t>
  </si>
  <si>
    <t xml:space="preserve">LTN Jul/2026</t>
  </si>
  <si>
    <t xml:space="preserve">Jul/2026 (84 DU)</t>
  </si>
  <si>
    <t xml:space="preserve">LTN Set/2026</t>
  </si>
  <si>
    <t xml:space="preserve">Set/2026 (126 DU)</t>
  </si>
  <si>
    <t xml:space="preserve">LTN Nov/2026</t>
  </si>
  <si>
    <t xml:space="preserve">Nov/2026 (168 DU)</t>
  </si>
  <si>
    <t xml:space="preserve">LTN Jan/2027</t>
  </si>
  <si>
    <t xml:space="preserve">Jan/2027 (210 DU)</t>
  </si>
  <si>
    <t xml:space="preserve">LTN Mar/2027</t>
  </si>
  <si>
    <t xml:space="preserve">LTN Mai/2027</t>
  </si>
  <si>
    <t xml:space="preserve">Mai/2027 (294 DU)</t>
  </si>
  <si>
    <t xml:space="preserve">LTN Jul/2027</t>
  </si>
  <si>
    <t xml:space="preserve">Jul/2027 (336 DU)</t>
  </si>
  <si>
    <t xml:space="preserve">Set/2027 (378 DU)</t>
  </si>
  <si>
    <t xml:space="preserve">LTN Nov/2027</t>
  </si>
  <si>
    <t xml:space="preserve">Nov/2027 (420 DU)</t>
  </si>
  <si>
    <t xml:space="preserve">LTN Jan/2028</t>
  </si>
  <si>
    <t xml:space="preserve">Jan/2028 (462 DU)</t>
  </si>
  <si>
    <t xml:space="preserve">LTN Mar/2028</t>
  </si>
  <si>
    <t xml:space="preserve">Mar/2028 (504 DU)</t>
  </si>
  <si>
    <t xml:space="preserve">LTN Mai/2028</t>
  </si>
  <si>
    <t xml:space="preserve">Mai/2028 (546 DU)</t>
  </si>
  <si>
    <t xml:space="preserve">LTN Jul/2028</t>
  </si>
  <si>
    <t xml:space="preserve">Jul/2028 (588 DU)</t>
  </si>
  <si>
    <t xml:space="preserve">LTN Set/2028</t>
  </si>
  <si>
    <t xml:space="preserve">Set/2028 (630 DU)</t>
  </si>
  <si>
    <t xml:space="preserve">LTN Nov/2028</t>
  </si>
  <si>
    <t xml:space="preserve">Nov/2028 (672 DU)</t>
  </si>
  <si>
    <t xml:space="preserve">LTN Jan/2029</t>
  </si>
  <si>
    <t xml:space="preserve">Jan/2029 (714 DU)</t>
  </si>
  <si>
    <t xml:space="preserve">LTN Mar/2029</t>
  </si>
  <si>
    <t xml:space="preserve">Mar/2029 (756 DU)</t>
  </si>
  <si>
    <t xml:space="preserve">LTN Mai/2029</t>
  </si>
  <si>
    <t xml:space="preserve">Mai/2029 (798 DU)</t>
  </si>
  <si>
    <t xml:space="preserve">LTN Jul/2029</t>
  </si>
  <si>
    <t xml:space="preserve">Jul/2029 (840 DU)</t>
  </si>
  <si>
    <t xml:space="preserve">LTN Set/2029</t>
  </si>
  <si>
    <t xml:space="preserve">Set/2029 (882 DU)</t>
  </si>
  <si>
    <t xml:space="preserve">LTN Nov/2029</t>
  </si>
  <si>
    <t xml:space="preserve">Nov/2029 (924 DU)</t>
  </si>
  <si>
    <t xml:space="preserve">LTN Jan/2030</t>
  </si>
  <si>
    <t xml:space="preserve">Jan/2030 (966 DU)</t>
  </si>
  <si>
    <t xml:space="preserve">LTN Mar/2030</t>
  </si>
  <si>
    <t xml:space="preserve">Mar/2030 (1008 DU)</t>
  </si>
  <si>
    <t xml:space="preserve">LTN Mai/2030</t>
  </si>
  <si>
    <t xml:space="preserve">Mai/2030 (1050 DU)</t>
  </si>
  <si>
    <t xml:space="preserve">LTN Jul/2030</t>
  </si>
  <si>
    <t xml:space="preserve">Jul/2030 (1092 DU)</t>
  </si>
  <si>
    <t xml:space="preserve">LTN Set/2030</t>
  </si>
  <si>
    <t xml:space="preserve">Set/2030 (1134 DU)</t>
  </si>
  <si>
    <t xml:space="preserve">LTN Nov/2030</t>
  </si>
  <si>
    <t xml:space="preserve">Nov/2030 (1176 DU)</t>
  </si>
  <si>
    <t xml:space="preserve">LTN Jan/2031</t>
  </si>
  <si>
    <t xml:space="preserve">Jan/2031 (1218 DU)</t>
  </si>
  <si>
    <t xml:space="preserve">TABELA DE VÉRTICES — ETTJ PREFIXADA</t>
  </si>
  <si>
    <t xml:space="preserve">Data de referência: 20/03/2026 | Curva: PRE | Fonte: ANBIMA</t>
  </si>
  <si>
    <t xml:space="preserve">Vértice (DU)</t>
  </si>
  <si>
    <t xml:space="preserve">Taxa Spot (% a.a.)</t>
  </si>
  <si>
    <t xml:space="preserve">Forward (% a.a.)</t>
  </si>
  <si>
    <t xml:space="preserve">Fator Desconto</t>
  </si>
  <si>
    <t xml:space="preserve">Tipo</t>
  </si>
  <si>
    <t xml:space="preserve">Taxa 30d (% a.a.)</t>
  </si>
  <si>
    <t xml:space="preserve">Original</t>
  </si>
  <si>
    <t xml:space="preserve">Interpolado</t>
  </si>
  <si>
    <t xml:space="preserve">ANÁLISE DE MOVIMENTOS — VARIAÇÃO EM BASIS POINTS</t>
  </si>
  <si>
    <t xml:space="preserve">Comparação: 20/03/2026 vs. 18/02/2026 (30 dias úteis)</t>
  </si>
  <si>
    <t xml:space="preserve">Taxa Hoje (%)</t>
  </si>
  <si>
    <t xml:space="preserve">Taxa 30d (%)</t>
  </si>
  <si>
    <t xml:space="preserve">Variação (bps)</t>
  </si>
  <si>
    <t xml:space="preserve">Direção</t>
  </si>
  <si>
    <t xml:space="preserve">SHIFT PARALELO (MÉDIA)</t>
  </si>
  <si>
    <t xml:space="preserve">▲ Abriu</t>
  </si>
  <si>
    <t xml:space="preserve">bps (média todos vértices)</t>
  </si>
  <si>
    <t xml:space="preserve">TIPO DE MOVIMENTO</t>
  </si>
  <si>
    <t xml:space="preserve">MÉDIA DA VARIAÇÃO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</si>
</sst>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0%"/>
    <numFmt numFmtId="167" formatCode="\+0;\-0;0"/>
    <numFmt numFmtId="168" formatCode="General"/>
    <numFmt numFmtId="169" formatCode="&quot;R$ &quot;#,##0.00"/>
    <numFmt numFmtId="170" formatCode="&quot;R$ &quot;#,##0.0000"/>
    <numFmt numFmtId="171" formatCode="&quot;R$ &quot;#,##0.00;&quot;-R$ &quot;#,##0.00"/>
    <numFmt numFmtId="172" formatCode="0.00\%"/>
    <numFmt numFmtId="173" formatCode="0.000000"/>
    <numFmt numFmtId="174" formatCode="\+0.0;\-0.0;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7A8BA8"/>
      <name val="Arial"/>
      <family val="0"/>
      <charset val="1"/>
    </font>
    <font>
      <sz val="9"/>
      <color rgb="FF7A8BA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E74C3C"/>
      <name val="Arial"/>
      <family val="0"/>
      <charset val="1"/>
    </font>
    <font>
      <sz val="8"/>
      <color rgb="FF7A8BA8"/>
      <name val="Arial"/>
      <family val="0"/>
      <charset val="1"/>
    </font>
    <font>
      <b val="true"/>
      <sz val="13"/>
      <color rgb="FF5BA3E6"/>
      <name val="Arial"/>
      <family val="0"/>
      <charset val="1"/>
    </font>
    <font>
      <sz val="10"/>
      <color rgb="FF7A8BA8"/>
      <name val="Arial"/>
      <family val="0"/>
      <charset val="1"/>
    </font>
    <font>
      <b val="true"/>
      <sz val="11"/>
      <color rgb="FF4A90D9"/>
      <name val="Arial"/>
      <family val="0"/>
      <charset val="1"/>
    </font>
    <font>
      <i val="true"/>
      <sz val="9"/>
      <color rgb="FF5BA3E6"/>
      <name val="Arial"/>
      <family val="0"/>
      <charset val="1"/>
    </font>
    <font>
      <b val="true"/>
      <sz val="12"/>
      <color rgb="FF2ECC71"/>
      <name val="Arial"/>
      <family val="0"/>
      <charset val="1"/>
    </font>
    <font>
      <b val="true"/>
      <sz val="12"/>
      <color rgb="FF95A5A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2ECC71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F39C12"/>
      <name val="Arial"/>
      <family val="0"/>
      <charset val="1"/>
    </font>
    <font>
      <sz val="10"/>
      <color rgb="FFB8C5D9"/>
      <name val="Arial"/>
      <family val="0"/>
      <charset val="1"/>
    </font>
    <font>
      <sz val="10"/>
      <color rgb="FF2ECC71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6"/>
      <color rgb="FFF39C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B33"/>
        <bgColor rgb="FF162240"/>
      </patternFill>
    </fill>
    <fill>
      <patternFill patternType="solid">
        <fgColor rgb="FF1E2D4F"/>
        <bgColor rgb="FF243356"/>
      </patternFill>
    </fill>
    <fill>
      <patternFill patternType="solid">
        <fgColor rgb="FF243356"/>
        <bgColor rgb="FF1E2D4F"/>
      </patternFill>
    </fill>
    <fill>
      <patternFill patternType="solid">
        <fgColor rgb="FF162240"/>
        <bgColor rgb="FF0F1B33"/>
      </patternFill>
    </fill>
    <fill>
      <patternFill patternType="solid">
        <fgColor rgb="FF3A1A1A"/>
        <bgColor rgb="FF16224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3F6A"/>
      </left>
      <right style="thin">
        <color rgb="FF2A3F6A"/>
      </right>
      <top style="thin">
        <color rgb="FF2A3F6A"/>
      </top>
      <bottom style="thin">
        <color rgb="FF2A3F6A"/>
      </bottom>
      <diagonal/>
    </border>
    <border diagonalUp="false" diagonalDown="false">
      <left style="thin">
        <color rgb="FF2A3F6A"/>
      </left>
      <right/>
      <top style="thin">
        <color rgb="FF2A3F6A"/>
      </top>
      <bottom style="thin">
        <color rgb="FF2A3F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240"/>
      <rgbColor rgb="FF808000"/>
      <rgbColor rgb="FF800080"/>
      <rgbColor rgb="FF008080"/>
      <rgbColor rgb="FFB8C5D9"/>
      <rgbColor rgb="FF878787"/>
      <rgbColor rgb="FF7A8BA8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A3E6"/>
      <rgbColor rgb="FFFF99CC"/>
      <rgbColor rgb="FFCC99FF"/>
      <rgbColor rgb="FFFFCC99"/>
      <rgbColor rgb="FF4A90D9"/>
      <rgbColor rgb="FF2ECC71"/>
      <rgbColor rgb="FF99CC00"/>
      <rgbColor rgb="FFFFCC00"/>
      <rgbColor rgb="FFF39C12"/>
      <rgbColor rgb="FFE74C3C"/>
      <rgbColor rgb="FF3A5BA0"/>
      <rgbColor rgb="FF95A5A6"/>
      <rgbColor rgb="FF1E2D4F"/>
      <rgbColor rgb="FF339966"/>
      <rgbColor rgb="FF0F1B33"/>
      <rgbColor rgb="FF3A1A1A"/>
      <rgbColor rgb="FF993300"/>
      <rgbColor rgb="FF993366"/>
      <rgbColor rgb="FF2A3F6A"/>
      <rgbColor rgb="FF2433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Curva Spot</c:v>
                </c:pt>
              </c:strCache>
            </c:strRef>
          </c:tx>
          <c:spPr>
            <a:solidFill>
              <a:srgbClr val="4a90d9"/>
            </a:solidFill>
            <a:ln w="28080">
              <a:solidFill>
                <a:srgbClr val="4a90d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Dashboard!$B$10:$B$38</c:f>
              <c:strCache>
                <c:ptCount val="29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CONSULTA DE TAXA INTERPOLADA</c:v>
                </c:pt>
                <c:pt idx="23">
                  <c:v>1008</c:v>
                </c:pt>
                <c:pt idx="24">
                  <c:v>Selecione o vencimento:</c:v>
                </c:pt>
                <c:pt idx="25">
                  <c:v>1092</c:v>
                </c:pt>
                <c:pt idx="26">
                  <c:v>Taxa interpolada:</c:v>
                </c:pt>
                <c:pt idx="27">
                  <c:v>Dias úteis:</c:v>
                </c:pt>
                <c:pt idx="28">
                  <c:v>1218</c:v>
                </c:pt>
              </c:strCache>
            </c:strRef>
          </c:cat>
          <c:val>
            <c:numRef>
              <c:f>Dashboard!$C$10:$C$38</c:f>
              <c:numCache>
                <c:formatCode>0.00</c:formatCode>
                <c:ptCount val="29"/>
                <c:pt idx="0">
                  <c:v>14.93</c:v>
                </c:pt>
                <c:pt idx="1">
                  <c:v>14.85</c:v>
                </c:pt>
                <c:pt idx="2">
                  <c:v>14.78</c:v>
                </c:pt>
                <c:pt idx="3">
                  <c:v>14.72</c:v>
                </c:pt>
                <c:pt idx="4">
                  <c:v>14.66</c:v>
                </c:pt>
                <c:pt idx="5">
                  <c:v>14.62</c:v>
                </c:pt>
                <c:pt idx="6">
                  <c:v>14.58</c:v>
                </c:pt>
                <c:pt idx="7">
                  <c:v>14.55</c:v>
                </c:pt>
                <c:pt idx="8">
                  <c:v>14.53</c:v>
                </c:pt>
                <c:pt idx="9">
                  <c:v>14.5</c:v>
                </c:pt>
                <c:pt idx="10">
                  <c:v>14.48</c:v>
                </c:pt>
                <c:pt idx="11">
                  <c:v>14.46</c:v>
                </c:pt>
                <c:pt idx="12">
                  <c:v>14.44</c:v>
                </c:pt>
                <c:pt idx="13">
                  <c:v>14.42</c:v>
                </c:pt>
                <c:pt idx="14">
                  <c:v>14.4</c:v>
                </c:pt>
                <c:pt idx="15">
                  <c:v>14.38</c:v>
                </c:pt>
                <c:pt idx="16">
                  <c:v>14.36</c:v>
                </c:pt>
                <c:pt idx="17">
                  <c:v>14.35</c:v>
                </c:pt>
                <c:pt idx="18">
                  <c:v>14.33</c:v>
                </c:pt>
                <c:pt idx="19">
                  <c:v>14.32</c:v>
                </c:pt>
                <c:pt idx="20">
                  <c:v>14.31</c:v>
                </c:pt>
                <c:pt idx="21">
                  <c:v>14.3</c:v>
                </c:pt>
                <c:pt idx="23">
                  <c:v>14.27</c:v>
                </c:pt>
                <c:pt idx="24">
                  <c:v>14.26</c:v>
                </c:pt>
                <c:pt idx="25">
                  <c:v>14.25</c:v>
                </c:pt>
                <c:pt idx="26">
                  <c:v>14.24</c:v>
                </c:pt>
                <c:pt idx="27">
                  <c:v>14.23</c:v>
                </c:pt>
                <c:pt idx="28">
                  <c:v>14.22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Dashboard!D9</c:f>
              <c:strCache>
                <c:ptCount val="1"/>
                <c:pt idx="0">
                  <c:v>Curva 30d Atrás</c:v>
                </c:pt>
              </c:strCache>
            </c:strRef>
          </c:tx>
          <c:spPr>
            <a:solidFill>
              <a:srgbClr val="95a5a6"/>
            </a:solidFill>
            <a:ln w="18000">
              <a:solidFill>
                <a:srgbClr val="95a5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Dashboard!$B$10:$B$38</c:f>
              <c:strCache>
                <c:ptCount val="29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CONSULTA DE TAXA INTERPOLADA</c:v>
                </c:pt>
                <c:pt idx="23">
                  <c:v>1008</c:v>
                </c:pt>
                <c:pt idx="24">
                  <c:v>Selecione o vencimento:</c:v>
                </c:pt>
                <c:pt idx="25">
                  <c:v>1092</c:v>
                </c:pt>
                <c:pt idx="26">
                  <c:v>Taxa interpolada:</c:v>
                </c:pt>
                <c:pt idx="27">
                  <c:v>Dias úteis:</c:v>
                </c:pt>
                <c:pt idx="28">
                  <c:v>1218</c:v>
                </c:pt>
              </c:strCache>
            </c:strRef>
          </c:cat>
          <c:val>
            <c:numRef>
              <c:f>Dashboard!$D$10:$D$38</c:f>
              <c:numCache>
                <c:formatCode>0.00</c:formatCode>
                <c:ptCount val="29"/>
                <c:pt idx="0">
                  <c:v>14.58</c:v>
                </c:pt>
                <c:pt idx="1">
                  <c:v>14.5</c:v>
                </c:pt>
                <c:pt idx="2">
                  <c:v>14.42</c:v>
                </c:pt>
                <c:pt idx="3">
                  <c:v>14.37</c:v>
                </c:pt>
                <c:pt idx="4">
                  <c:v>14.33</c:v>
                </c:pt>
                <c:pt idx="5">
                  <c:v>14.3</c:v>
                </c:pt>
                <c:pt idx="6">
                  <c:v>14.27</c:v>
                </c:pt>
                <c:pt idx="7">
                  <c:v>14.24</c:v>
                </c:pt>
                <c:pt idx="8">
                  <c:v>14.22</c:v>
                </c:pt>
                <c:pt idx="9">
                  <c:v>14.19</c:v>
                </c:pt>
                <c:pt idx="10">
                  <c:v>14.17</c:v>
                </c:pt>
                <c:pt idx="11">
                  <c:v>14.15</c:v>
                </c:pt>
                <c:pt idx="12">
                  <c:v>14.13</c:v>
                </c:pt>
                <c:pt idx="13">
                  <c:v>14.11</c:v>
                </c:pt>
                <c:pt idx="14">
                  <c:v>14.09</c:v>
                </c:pt>
                <c:pt idx="15">
                  <c:v>14.07</c:v>
                </c:pt>
                <c:pt idx="16">
                  <c:v>14.06</c:v>
                </c:pt>
                <c:pt idx="17">
                  <c:v>14.05</c:v>
                </c:pt>
                <c:pt idx="18">
                  <c:v>14.03</c:v>
                </c:pt>
                <c:pt idx="19">
                  <c:v>14.02</c:v>
                </c:pt>
                <c:pt idx="20">
                  <c:v>14.01</c:v>
                </c:pt>
                <c:pt idx="21">
                  <c:v>14</c:v>
                </c:pt>
                <c:pt idx="23">
                  <c:v>13.97</c:v>
                </c:pt>
                <c:pt idx="25">
                  <c:v>13.95</c:v>
                </c:pt>
                <c:pt idx="26">
                  <c:v>0.1462</c:v>
                </c:pt>
                <c:pt idx="27">
                  <c:v>252</c:v>
                </c:pt>
                <c:pt idx="28">
                  <c:v>13.92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Dashboard!E9</c:f>
              <c:strCache>
                <c:ptCount val="1"/>
                <c:pt idx="0">
                  <c:v>Forward Implícita</c:v>
                </c:pt>
              </c:strCache>
            </c:strRef>
          </c:tx>
          <c:spPr>
            <a:solidFill>
              <a:srgbClr val="f39c12"/>
            </a:solidFill>
            <a:ln w="15840">
              <a:solidFill>
                <a:srgbClr val="f39c12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Dashboard!$B$10:$B$38</c:f>
              <c:strCache>
                <c:ptCount val="29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CONSULTA DE TAXA INTERPOLADA</c:v>
                </c:pt>
                <c:pt idx="23">
                  <c:v>1008</c:v>
                </c:pt>
                <c:pt idx="24">
                  <c:v>Selecione o vencimento:</c:v>
                </c:pt>
                <c:pt idx="25">
                  <c:v>1092</c:v>
                </c:pt>
                <c:pt idx="26">
                  <c:v>Taxa interpolada:</c:v>
                </c:pt>
                <c:pt idx="27">
                  <c:v>Dias úteis:</c:v>
                </c:pt>
                <c:pt idx="28">
                  <c:v>1218</c:v>
                </c:pt>
              </c:strCache>
            </c:strRef>
          </c:cat>
          <c:val>
            <c:numRef>
              <c:f>Dashboard!$E$10:$E$38</c:f>
              <c:numCache>
                <c:formatCode>0.00</c:formatCode>
                <c:ptCount val="29"/>
                <c:pt idx="0">
                  <c:v>14.93</c:v>
                </c:pt>
                <c:pt idx="1">
                  <c:v>14.7700556860697</c:v>
                </c:pt>
                <c:pt idx="2">
                  <c:v>14.6401279670308</c:v>
                </c:pt>
                <c:pt idx="3">
                  <c:v>14.5401881205222</c:v>
                </c:pt>
                <c:pt idx="4">
                  <c:v>14.4203136434491</c:v>
                </c:pt>
                <c:pt idx="5">
                  <c:v>14.4202092171593</c:v>
                </c:pt>
                <c:pt idx="6">
                  <c:v>14.3402929721165</c:v>
                </c:pt>
                <c:pt idx="7">
                  <c:v>14.3402198185398</c:v>
                </c:pt>
                <c:pt idx="8">
                  <c:v>14.3701256580978</c:v>
                </c:pt>
                <c:pt idx="9">
                  <c:v>14.2303533722468</c:v>
                </c:pt>
                <c:pt idx="10">
                  <c:v>14.2801920390886</c:v>
                </c:pt>
                <c:pt idx="11">
                  <c:v>14.2402304737263</c:v>
                </c:pt>
                <c:pt idx="12">
                  <c:v>14.2002724097434</c:v>
                </c:pt>
                <c:pt idx="13">
                  <c:v>14.1603178483623</c:v>
                </c:pt>
                <c:pt idx="14">
                  <c:v>14.120366790806</c:v>
                </c:pt>
                <c:pt idx="15">
                  <c:v>14.080419238299</c:v>
                </c:pt>
                <c:pt idx="16">
                  <c:v>14.0404751920645</c:v>
                </c:pt>
                <c:pt idx="17">
                  <c:v>14.1801337256644</c:v>
                </c:pt>
                <c:pt idx="18">
                  <c:v>13.9705975711023</c:v>
                </c:pt>
                <c:pt idx="19">
                  <c:v>14.130166098422</c:v>
                </c:pt>
                <c:pt idx="20">
                  <c:v>14.1101835931644</c:v>
                </c:pt>
                <c:pt idx="21">
                  <c:v>14.0902019642504</c:v>
                </c:pt>
                <c:pt idx="23">
                  <c:v>14.0402413571688</c:v>
                </c:pt>
                <c:pt idx="25">
                  <c:v>14.0002842399468</c:v>
                </c:pt>
                <c:pt idx="26">
                  <c:v>13.980306997039</c:v>
                </c:pt>
                <c:pt idx="27">
                  <c:v>13.9603306314707</c:v>
                </c:pt>
                <c:pt idx="28">
                  <c:v>13.9403551433951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148729"/>
        <c:axId val="41581908"/>
      </c:lineChart>
      <c:catAx>
        <c:axId val="32148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Dias Úteis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81908"/>
        <c:crosses val="autoZero"/>
        <c:auto val="1"/>
        <c:lblAlgn val="ctr"/>
        <c:lblOffset val="100"/>
        <c:noMultiLvlLbl val="0"/>
      </c:catAx>
      <c:valAx>
        <c:axId val="41581908"/>
        <c:scaling>
          <c:orientation val="minMax"/>
          <c:max val="15.5"/>
          <c:min val="13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Taxa (% a.a.)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487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12</xdr:col>
      <xdr:colOff>30600</xdr:colOff>
      <xdr:row>38</xdr:row>
      <xdr:rowOff>30240</xdr:rowOff>
    </xdr:to>
    <xdr:graphicFrame>
      <xdr:nvGraphicFramePr>
        <xdr:cNvPr id="0" name="Chart 1"/>
        <xdr:cNvGraphicFramePr/>
      </xdr:nvGraphicFramePr>
      <xdr:xfrm>
        <a:off x="211320" y="1924200"/>
        <a:ext cx="115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N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10" min="7" style="0" width="16"/>
    <col collapsed="false" customWidth="true" hidden="false" outlineLevel="0" max="11" min="11" style="0" width="3"/>
    <col collapsed="false" customWidth="true" hidden="false" outlineLevel="0" max="13" min="12" style="0" width="16"/>
    <col collapsed="false" customWidth="true" hidden="false" outlineLevel="0" max="14" min="14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8" hidden="false" customHeight="true" outlineLevel="0" collapsed="false">
      <c r="A5" s="1"/>
      <c r="B5" s="4" t="s">
        <v>2</v>
      </c>
      <c r="C5" s="5"/>
      <c r="D5" s="5"/>
      <c r="E5" s="4" t="s">
        <v>3</v>
      </c>
      <c r="F5" s="5"/>
      <c r="G5" s="5"/>
      <c r="H5" s="4" t="s">
        <v>4</v>
      </c>
      <c r="I5" s="5"/>
      <c r="J5" s="5"/>
      <c r="K5" s="4" t="s">
        <v>5</v>
      </c>
      <c r="L5" s="5"/>
      <c r="M5" s="5"/>
      <c r="N5" s="1"/>
    </row>
    <row r="6" customFormat="false" ht="27.75" hidden="false" customHeight="true" outlineLevel="0" collapsed="false">
      <c r="A6" s="1"/>
      <c r="B6" s="6" t="s">
        <v>6</v>
      </c>
      <c r="C6" s="5"/>
      <c r="D6" s="5"/>
      <c r="E6" s="6" t="s">
        <v>7</v>
      </c>
      <c r="F6" s="5"/>
      <c r="G6" s="5"/>
      <c r="H6" s="6" t="s">
        <v>8</v>
      </c>
      <c r="I6" s="5"/>
      <c r="J6" s="5"/>
      <c r="K6" s="7" t="s">
        <v>9</v>
      </c>
      <c r="L6" s="5"/>
      <c r="M6" s="5"/>
      <c r="N6" s="1"/>
    </row>
    <row r="7" customFormat="false" ht="15.75" hidden="false" customHeight="true" outlineLevel="0" collapsed="false">
      <c r="A7" s="1"/>
      <c r="B7" s="5"/>
      <c r="C7" s="5"/>
      <c r="D7" s="5"/>
      <c r="E7" s="5"/>
      <c r="F7" s="5"/>
      <c r="G7" s="5"/>
      <c r="H7" s="5"/>
      <c r="I7" s="5"/>
      <c r="J7" s="5"/>
      <c r="K7" s="8" t="s">
        <v>10</v>
      </c>
      <c r="L7" s="5"/>
      <c r="M7" s="5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9" t="s">
        <v>11</v>
      </c>
      <c r="C9" s="9" t="s">
        <v>12</v>
      </c>
      <c r="D9" s="9" t="s">
        <v>13</v>
      </c>
      <c r="E9" s="9" t="s">
        <v>14</v>
      </c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9" t="n">
        <v>42</v>
      </c>
      <c r="C10" s="10" t="n">
        <v>14.93</v>
      </c>
      <c r="D10" s="10" t="n">
        <v>14.58</v>
      </c>
      <c r="E10" s="10" t="n">
        <f aca="false">Aux!E2*100</f>
        <v>14.93</v>
      </c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9" t="n">
        <v>84</v>
      </c>
      <c r="C11" s="10" t="n">
        <v>14.85</v>
      </c>
      <c r="D11" s="10" t="n">
        <v>14.5</v>
      </c>
      <c r="E11" s="10" t="n">
        <f aca="false">Aux!E3*100</f>
        <v>14.7700556860697</v>
      </c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9" t="n">
        <v>126</v>
      </c>
      <c r="C12" s="10" t="n">
        <v>14.78</v>
      </c>
      <c r="D12" s="10" t="n">
        <v>14.42</v>
      </c>
      <c r="E12" s="10" t="n">
        <f aca="false">Aux!E4*100</f>
        <v>14.6401279670308</v>
      </c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9" t="n">
        <v>168</v>
      </c>
      <c r="C13" s="10" t="n">
        <v>14.72</v>
      </c>
      <c r="D13" s="10" t="n">
        <v>14.37</v>
      </c>
      <c r="E13" s="10" t="n">
        <f aca="false">Aux!E5*100</f>
        <v>14.5401881205222</v>
      </c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9" t="n">
        <v>210</v>
      </c>
      <c r="C14" s="10" t="n">
        <v>14.66</v>
      </c>
      <c r="D14" s="10" t="n">
        <v>14.33</v>
      </c>
      <c r="E14" s="10" t="n">
        <f aca="false">Aux!E6*100</f>
        <v>14.4203136434491</v>
      </c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9" t="n">
        <v>252</v>
      </c>
      <c r="C15" s="10" t="n">
        <v>14.62</v>
      </c>
      <c r="D15" s="10" t="n">
        <v>14.3</v>
      </c>
      <c r="E15" s="10" t="n">
        <f aca="false">Aux!E7*100</f>
        <v>14.4202092171593</v>
      </c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9" t="n">
        <v>294</v>
      </c>
      <c r="C16" s="10" t="n">
        <v>14.58</v>
      </c>
      <c r="D16" s="10" t="n">
        <v>14.27</v>
      </c>
      <c r="E16" s="10" t="n">
        <f aca="false">Aux!E8*100</f>
        <v>14.3402929721165</v>
      </c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9" t="n">
        <v>336</v>
      </c>
      <c r="C17" s="10" t="n">
        <v>14.55</v>
      </c>
      <c r="D17" s="10" t="n">
        <v>14.24</v>
      </c>
      <c r="E17" s="10" t="n">
        <f aca="false">Aux!E9*100</f>
        <v>14.3402198185398</v>
      </c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9" t="n">
        <v>378</v>
      </c>
      <c r="C18" s="10" t="n">
        <v>14.53</v>
      </c>
      <c r="D18" s="10" t="n">
        <v>14.22</v>
      </c>
      <c r="E18" s="10" t="n">
        <f aca="false">Aux!E10*100</f>
        <v>14.3701256580978</v>
      </c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9" t="n">
        <v>420</v>
      </c>
      <c r="C19" s="10" t="n">
        <v>14.5</v>
      </c>
      <c r="D19" s="10" t="n">
        <v>14.19</v>
      </c>
      <c r="E19" s="10" t="n">
        <f aca="false">Aux!E11*100</f>
        <v>14.2303533722468</v>
      </c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9" t="n">
        <v>462</v>
      </c>
      <c r="C20" s="10" t="n">
        <v>14.48</v>
      </c>
      <c r="D20" s="10" t="n">
        <v>14.17</v>
      </c>
      <c r="E20" s="10" t="n">
        <f aca="false">Aux!E12*100</f>
        <v>14.2801920390886</v>
      </c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9" t="n">
        <v>504</v>
      </c>
      <c r="C21" s="10" t="n">
        <v>14.46</v>
      </c>
      <c r="D21" s="10" t="n">
        <v>14.15</v>
      </c>
      <c r="E21" s="10" t="n">
        <f aca="false">Aux!E13*100</f>
        <v>14.2402304737263</v>
      </c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9" t="n">
        <v>546</v>
      </c>
      <c r="C22" s="10" t="n">
        <v>14.44</v>
      </c>
      <c r="D22" s="10" t="n">
        <v>14.13</v>
      </c>
      <c r="E22" s="10" t="n">
        <f aca="false">Aux!E14*100</f>
        <v>14.2002724097434</v>
      </c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9" t="n">
        <v>588</v>
      </c>
      <c r="C23" s="10" t="n">
        <v>14.42</v>
      </c>
      <c r="D23" s="10" t="n">
        <v>14.11</v>
      </c>
      <c r="E23" s="10" t="n">
        <f aca="false">Aux!E15*100</f>
        <v>14.1603178483623</v>
      </c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9" t="n">
        <v>630</v>
      </c>
      <c r="C24" s="10" t="n">
        <v>14.4</v>
      </c>
      <c r="D24" s="10" t="n">
        <v>14.09</v>
      </c>
      <c r="E24" s="10" t="n">
        <f aca="false">Aux!E16*100</f>
        <v>14.120366790806</v>
      </c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9" t="n">
        <v>672</v>
      </c>
      <c r="C25" s="10" t="n">
        <v>14.38</v>
      </c>
      <c r="D25" s="10" t="n">
        <v>14.07</v>
      </c>
      <c r="E25" s="10" t="n">
        <f aca="false">Aux!E17*100</f>
        <v>14.080419238299</v>
      </c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9" t="n">
        <v>714</v>
      </c>
      <c r="C26" s="10" t="n">
        <v>14.36</v>
      </c>
      <c r="D26" s="10" t="n">
        <v>14.06</v>
      </c>
      <c r="E26" s="10" t="n">
        <f aca="false">Aux!E18*100</f>
        <v>14.0404751920645</v>
      </c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9" t="n">
        <v>756</v>
      </c>
      <c r="C27" s="10" t="n">
        <v>14.35</v>
      </c>
      <c r="D27" s="10" t="n">
        <v>14.05</v>
      </c>
      <c r="E27" s="10" t="n">
        <f aca="false">Aux!E19*100</f>
        <v>14.1801337256644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9" t="n">
        <v>798</v>
      </c>
      <c r="C28" s="10" t="n">
        <v>14.33</v>
      </c>
      <c r="D28" s="10" t="n">
        <v>14.03</v>
      </c>
      <c r="E28" s="10" t="n">
        <f aca="false">Aux!E20*100</f>
        <v>13.9705975711023</v>
      </c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9" t="n">
        <v>840</v>
      </c>
      <c r="C29" s="10" t="n">
        <v>14.32</v>
      </c>
      <c r="D29" s="10" t="n">
        <v>14.02</v>
      </c>
      <c r="E29" s="10" t="n">
        <f aca="false">Aux!E21*100</f>
        <v>14.130166098422</v>
      </c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9" t="n">
        <v>882</v>
      </c>
      <c r="C30" s="10" t="n">
        <v>14.31</v>
      </c>
      <c r="D30" s="10" t="n">
        <v>14.01</v>
      </c>
      <c r="E30" s="10" t="n">
        <f aca="false">Aux!E22*100</f>
        <v>14.1101835931644</v>
      </c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9" t="n">
        <v>924</v>
      </c>
      <c r="C31" s="10" t="n">
        <v>14.3</v>
      </c>
      <c r="D31" s="10" t="n">
        <v>14</v>
      </c>
      <c r="E31" s="10" t="n">
        <f aca="false">Aux!E23*100</f>
        <v>14.0902019642504</v>
      </c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6.15" hidden="false" customHeight="false" outlineLevel="0" collapsed="false">
      <c r="A32" s="1"/>
      <c r="B32" s="11" t="s">
        <v>15</v>
      </c>
      <c r="C32" s="11"/>
      <c r="D32" s="11"/>
      <c r="E32" s="11"/>
      <c r="F32" s="1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9" t="n">
        <v>1008</v>
      </c>
      <c r="C33" s="10" t="n">
        <v>14.27</v>
      </c>
      <c r="D33" s="10" t="n">
        <v>13.97</v>
      </c>
      <c r="E33" s="10" t="n">
        <f aca="false">Aux!E25*100</f>
        <v>14.0402413571688</v>
      </c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2" t="s">
        <v>16</v>
      </c>
      <c r="C34" s="10" t="n">
        <v>14.26</v>
      </c>
      <c r="D34" s="13" t="s">
        <v>17</v>
      </c>
      <c r="E34" s="13"/>
      <c r="F34" s="14" t="s">
        <v>18</v>
      </c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9" t="n">
        <v>1092</v>
      </c>
      <c r="C35" s="10" t="n">
        <v>14.25</v>
      </c>
      <c r="D35" s="10" t="n">
        <v>13.95</v>
      </c>
      <c r="E35" s="10" t="n">
        <f aca="false">Aux!E27*100</f>
        <v>14.0002842399468</v>
      </c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2" t="s">
        <v>19</v>
      </c>
      <c r="C36" s="10" t="n">
        <v>14.24</v>
      </c>
      <c r="D36" s="15" t="n">
        <f aca="false">VLOOKUP(D34,Aux!A:C,3,FALSE())</f>
        <v>0.1462</v>
      </c>
      <c r="E36" s="10" t="n">
        <f aca="false">Aux!E28*100</f>
        <v>13.980306997039</v>
      </c>
      <c r="F36" s="12" t="s">
        <v>20</v>
      </c>
      <c r="G36" s="1"/>
      <c r="H36" s="16" t="n">
        <f aca="false">VLOOKUP(D34,Aux!A:D,4,FALSE())</f>
        <v>0.143</v>
      </c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2" t="s">
        <v>21</v>
      </c>
      <c r="C37" s="10" t="n">
        <v>14.23</v>
      </c>
      <c r="D37" s="17" t="n">
        <f aca="false">VLOOKUP(D34,Aux!A:B,2,FALSE())</f>
        <v>252</v>
      </c>
      <c r="E37" s="10" t="n">
        <f aca="false">Aux!E29*100</f>
        <v>13.9603306314707</v>
      </c>
      <c r="F37" s="12" t="s">
        <v>22</v>
      </c>
      <c r="G37" s="1"/>
      <c r="H37" s="18" t="n">
        <f aca="false">(D36-H36)*10000</f>
        <v>32.0000000000001</v>
      </c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9" t="n">
        <v>1218</v>
      </c>
      <c r="C38" s="10" t="n">
        <v>14.22</v>
      </c>
      <c r="D38" s="10" t="n">
        <v>13.92</v>
      </c>
      <c r="E38" s="10" t="n">
        <f aca="false">Aux!E30*100</f>
        <v>13.9403551433951</v>
      </c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6.15" hidden="false" customHeight="false" outlineLevel="0" collapsed="false">
      <c r="A40" s="1"/>
      <c r="B40" s="19" t="s">
        <v>23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2" t="s">
        <v>24</v>
      </c>
      <c r="C42" s="1"/>
      <c r="D42" s="20" t="s">
        <v>25</v>
      </c>
      <c r="E42" s="20"/>
      <c r="F42" s="14" t="s">
        <v>18</v>
      </c>
      <c r="G42" s="12" t="s">
        <v>26</v>
      </c>
      <c r="H42" s="1"/>
      <c r="I42" s="21" t="n">
        <f aca="false">VLOOKUP(D42,Aux!F:G,2,FALSE())</f>
        <v>378</v>
      </c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2" t="s">
        <v>27</v>
      </c>
      <c r="C43" s="1"/>
      <c r="D43" s="22" t="n">
        <v>1000</v>
      </c>
      <c r="E43" s="1"/>
      <c r="F43" s="1"/>
      <c r="G43" s="12" t="s">
        <v>28</v>
      </c>
      <c r="H43" s="1"/>
      <c r="I43" s="23" t="n">
        <v>0.1455</v>
      </c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24" t="s">
        <v>29</v>
      </c>
      <c r="C45" s="5"/>
      <c r="D45" s="5"/>
      <c r="E45" s="24" t="s">
        <v>30</v>
      </c>
      <c r="F45" s="5"/>
      <c r="G45" s="5"/>
      <c r="H45" s="24" t="s">
        <v>31</v>
      </c>
      <c r="I45" s="5"/>
      <c r="J45" s="5"/>
      <c r="K45" s="1"/>
      <c r="L45" s="1"/>
      <c r="M45" s="1"/>
      <c r="N45" s="1"/>
    </row>
    <row r="46" customFormat="false" ht="22.05" hidden="false" customHeight="false" outlineLevel="0" collapsed="false">
      <c r="A46" s="1"/>
      <c r="B46" s="25" t="n">
        <f aca="false">D43/((1+I43)^(I42/252))</f>
        <v>815.656609428535</v>
      </c>
      <c r="C46" s="5"/>
      <c r="D46" s="5"/>
      <c r="E46" s="26" t="n">
        <f aca="false">I42/252</f>
        <v>1.5</v>
      </c>
      <c r="F46" s="5"/>
      <c r="G46" s="5"/>
      <c r="H46" s="27" t="n">
        <f aca="false">(D43/((1+I43-0.0001)^(I42/252)) - D43/((1+I43+0.0001)^(I42/252)))/2</f>
        <v>0.106807937821088</v>
      </c>
      <c r="I46" s="5"/>
      <c r="J46" s="5"/>
      <c r="K46" s="1"/>
      <c r="L46" s="1"/>
      <c r="M46" s="1"/>
      <c r="N46" s="1"/>
    </row>
    <row r="47" customFormat="false" ht="15" hidden="false" customHeight="false" outlineLevel="0" collapsed="false">
      <c r="A47" s="1"/>
      <c r="B47" s="5"/>
      <c r="C47" s="5"/>
      <c r="D47" s="5"/>
      <c r="E47" s="5"/>
      <c r="F47" s="5"/>
      <c r="G47" s="5"/>
      <c r="H47" s="5"/>
      <c r="I47" s="5"/>
      <c r="J47" s="5"/>
      <c r="K47" s="1"/>
      <c r="L47" s="1"/>
      <c r="M47" s="1"/>
      <c r="N47" s="1"/>
    </row>
    <row r="48" customFormat="false" ht="15" hidden="false" customHeight="false" outlineLevel="0" collapsed="false">
      <c r="A48" s="1"/>
      <c r="B48" s="28" t="s">
        <v>32</v>
      </c>
      <c r="C48" s="28"/>
      <c r="D48" s="28"/>
      <c r="E48" s="29" t="s">
        <v>33</v>
      </c>
      <c r="F48" s="1"/>
      <c r="G48" s="1"/>
      <c r="H48" s="29" t="s">
        <v>34</v>
      </c>
      <c r="I48" s="1"/>
      <c r="J48" s="1"/>
      <c r="K48" s="1"/>
      <c r="L48" s="1"/>
      <c r="M48" s="1"/>
      <c r="N48" s="1"/>
    </row>
    <row r="49" customFormat="false" ht="17.35" hidden="false" customHeight="false" outlineLevel="0" collapsed="false">
      <c r="A49" s="1"/>
      <c r="B49" s="30" t="n">
        <f aca="false">D43/((1+I43+0.005)^(I42/252))</f>
        <v>810.345202854095</v>
      </c>
      <c r="C49" s="5"/>
      <c r="D49" s="5"/>
      <c r="E49" s="31" t="n">
        <f aca="false">B49-B46</f>
        <v>-5.31140657444018</v>
      </c>
      <c r="F49" s="5"/>
      <c r="G49" s="5"/>
      <c r="H49" s="32" t="n">
        <f aca="false">(B49-B46)/B46</f>
        <v>-0.00651181699877533</v>
      </c>
      <c r="I49" s="5"/>
      <c r="J49" s="5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9" t="s">
        <v>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</sheetData>
  <mergeCells count="7">
    <mergeCell ref="B2:M2"/>
    <mergeCell ref="B3:M3"/>
    <mergeCell ref="B32:F32"/>
    <mergeCell ref="D34:E34"/>
    <mergeCell ref="B40:M40"/>
    <mergeCell ref="D42:E42"/>
    <mergeCell ref="B48:D48"/>
  </mergeCells>
  <dataValidations count="2">
    <dataValidation allowBlank="false" errorStyle="stop" operator="between" prompt="Selecione um vencimento" promptTitle="Vencimento" showDropDown="false" showErrorMessage="false" showInputMessage="false" sqref="D34" type="list">
      <formula1>Aux!$A$2:$A$30</formula1>
      <formula2>0</formula2>
    </dataValidation>
    <dataValidation allowBlank="false" errorStyle="stop" operator="between" showDropDown="false" showErrorMessage="false" showInputMessage="false" sqref="D42" type="list">
      <formula1>Aux!$F$2:$F$29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</v>
      </c>
      <c r="B1" s="0" t="s">
        <v>11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</row>
    <row r="2" customFormat="false" ht="15" hidden="false" customHeight="false" outlineLevel="0" collapsed="false">
      <c r="A2" s="0" t="s">
        <v>42</v>
      </c>
      <c r="B2" s="0" t="n">
        <v>42</v>
      </c>
      <c r="C2" s="33" t="n">
        <v>0.1493</v>
      </c>
      <c r="D2" s="33" t="n">
        <v>0.1458</v>
      </c>
      <c r="E2" s="33" t="n">
        <v>0.1493</v>
      </c>
      <c r="F2" s="34" t="s">
        <v>43</v>
      </c>
      <c r="G2" s="0" t="n">
        <v>84</v>
      </c>
    </row>
    <row r="3" customFormat="false" ht="15" hidden="false" customHeight="false" outlineLevel="0" collapsed="false">
      <c r="A3" s="0" t="s">
        <v>44</v>
      </c>
      <c r="B3" s="0" t="n">
        <v>84</v>
      </c>
      <c r="C3" s="33" t="n">
        <v>0.1485</v>
      </c>
      <c r="D3" s="33" t="n">
        <v>0.145</v>
      </c>
      <c r="E3" s="33" t="n">
        <f aca="false">(((1+C3)^(B3/252))/((1+C2)^(B2/252)))^(252/(B3-B2))-1</f>
        <v>0.147700556860697</v>
      </c>
      <c r="F3" s="34" t="s">
        <v>45</v>
      </c>
      <c r="G3" s="0" t="n">
        <v>126</v>
      </c>
    </row>
    <row r="4" customFormat="false" ht="15" hidden="false" customHeight="false" outlineLevel="0" collapsed="false">
      <c r="A4" s="0" t="s">
        <v>46</v>
      </c>
      <c r="B4" s="0" t="n">
        <v>126</v>
      </c>
      <c r="C4" s="33" t="n">
        <v>0.1478</v>
      </c>
      <c r="D4" s="33" t="n">
        <v>0.1442</v>
      </c>
      <c r="E4" s="33" t="n">
        <f aca="false">(((1+C4)^(B4/252))/((1+C3)^(B3/252)))^(252/(B4-B3))-1</f>
        <v>0.146401279670308</v>
      </c>
      <c r="F4" s="34" t="s">
        <v>47</v>
      </c>
      <c r="G4" s="0" t="n">
        <v>168</v>
      </c>
    </row>
    <row r="5" customFormat="false" ht="15" hidden="false" customHeight="false" outlineLevel="0" collapsed="false">
      <c r="A5" s="0" t="s">
        <v>48</v>
      </c>
      <c r="B5" s="0" t="n">
        <v>168</v>
      </c>
      <c r="C5" s="33" t="n">
        <v>0.1472</v>
      </c>
      <c r="D5" s="33" t="n">
        <v>0.1437</v>
      </c>
      <c r="E5" s="33" t="n">
        <f aca="false">(((1+C5)^(B5/252))/((1+C4)^(B4/252)))^(252/(B5-B4))-1</f>
        <v>0.145401881205222</v>
      </c>
      <c r="F5" s="34" t="s">
        <v>49</v>
      </c>
      <c r="G5" s="0" t="n">
        <v>210</v>
      </c>
    </row>
    <row r="6" customFormat="false" ht="15" hidden="false" customHeight="false" outlineLevel="0" collapsed="false">
      <c r="A6" s="0" t="s">
        <v>50</v>
      </c>
      <c r="B6" s="0" t="n">
        <v>210</v>
      </c>
      <c r="C6" s="33" t="n">
        <v>0.1466</v>
      </c>
      <c r="D6" s="33" t="n">
        <v>0.1433</v>
      </c>
      <c r="E6" s="33" t="n">
        <f aca="false">(((1+C6)^(B6/252))/((1+C5)^(B5/252)))^(252/(B6-B5))-1</f>
        <v>0.144203136434491</v>
      </c>
      <c r="F6" s="34" t="s">
        <v>51</v>
      </c>
      <c r="G6" s="0" t="n">
        <v>252</v>
      </c>
    </row>
    <row r="7" customFormat="false" ht="15" hidden="false" customHeight="false" outlineLevel="0" collapsed="false">
      <c r="A7" s="0" t="s">
        <v>17</v>
      </c>
      <c r="B7" s="0" t="n">
        <v>252</v>
      </c>
      <c r="C7" s="33" t="n">
        <v>0.1462</v>
      </c>
      <c r="D7" s="33" t="n">
        <v>0.143</v>
      </c>
      <c r="E7" s="33" t="n">
        <f aca="false">(((1+C7)^(B7/252))/((1+C6)^(B6/252)))^(252/(B7-B6))-1</f>
        <v>0.144202092171593</v>
      </c>
      <c r="F7" s="34" t="s">
        <v>52</v>
      </c>
      <c r="G7" s="0" t="n">
        <v>294</v>
      </c>
    </row>
    <row r="8" customFormat="false" ht="15" hidden="false" customHeight="false" outlineLevel="0" collapsed="false">
      <c r="A8" s="0" t="s">
        <v>53</v>
      </c>
      <c r="B8" s="0" t="n">
        <v>294</v>
      </c>
      <c r="C8" s="33" t="n">
        <v>0.1458</v>
      </c>
      <c r="D8" s="33" t="n">
        <v>0.1427</v>
      </c>
      <c r="E8" s="33" t="n">
        <f aca="false">(((1+C8)^(B8/252))/((1+C7)^(B7/252)))^(252/(B8-B7))-1</f>
        <v>0.143402929721165</v>
      </c>
      <c r="F8" s="34" t="s">
        <v>54</v>
      </c>
      <c r="G8" s="0" t="n">
        <v>336</v>
      </c>
    </row>
    <row r="9" customFormat="false" ht="15" hidden="false" customHeight="false" outlineLevel="0" collapsed="false">
      <c r="A9" s="0" t="s">
        <v>55</v>
      </c>
      <c r="B9" s="0" t="n">
        <v>336</v>
      </c>
      <c r="C9" s="33" t="n">
        <v>0.1455</v>
      </c>
      <c r="D9" s="33" t="n">
        <v>0.1424</v>
      </c>
      <c r="E9" s="33" t="n">
        <f aca="false">(((1+C9)^(B9/252))/((1+C8)^(B8/252)))^(252/(B9-B8))-1</f>
        <v>0.143402198185398</v>
      </c>
      <c r="F9" s="34" t="s">
        <v>25</v>
      </c>
      <c r="G9" s="0" t="n">
        <v>378</v>
      </c>
    </row>
    <row r="10" customFormat="false" ht="15" hidden="false" customHeight="false" outlineLevel="0" collapsed="false">
      <c r="A10" s="0" t="s">
        <v>56</v>
      </c>
      <c r="B10" s="0" t="n">
        <v>378</v>
      </c>
      <c r="C10" s="33" t="n">
        <v>0.1453</v>
      </c>
      <c r="D10" s="33" t="n">
        <v>0.1422</v>
      </c>
      <c r="E10" s="33" t="n">
        <f aca="false">(((1+C10)^(B10/252))/((1+C9)^(B9/252)))^(252/(B10-B9))-1</f>
        <v>0.143701256580978</v>
      </c>
      <c r="F10" s="34" t="s">
        <v>57</v>
      </c>
      <c r="G10" s="0" t="n">
        <v>420</v>
      </c>
    </row>
    <row r="11" customFormat="false" ht="15" hidden="false" customHeight="false" outlineLevel="0" collapsed="false">
      <c r="A11" s="0" t="s">
        <v>58</v>
      </c>
      <c r="B11" s="0" t="n">
        <v>420</v>
      </c>
      <c r="C11" s="33" t="n">
        <v>0.145</v>
      </c>
      <c r="D11" s="33" t="n">
        <v>0.1419</v>
      </c>
      <c r="E11" s="33" t="n">
        <f aca="false">(((1+C11)^(B11/252))/((1+C10)^(B10/252)))^(252/(B11-B10))-1</f>
        <v>0.142303533722468</v>
      </c>
      <c r="F11" s="34" t="s">
        <v>59</v>
      </c>
      <c r="G11" s="0" t="n">
        <v>462</v>
      </c>
    </row>
    <row r="12" customFormat="false" ht="15" hidden="false" customHeight="false" outlineLevel="0" collapsed="false">
      <c r="A12" s="0" t="s">
        <v>60</v>
      </c>
      <c r="B12" s="0" t="n">
        <v>462</v>
      </c>
      <c r="C12" s="33" t="n">
        <v>0.1448</v>
      </c>
      <c r="D12" s="33" t="n">
        <v>0.1417</v>
      </c>
      <c r="E12" s="33" t="n">
        <f aca="false">(((1+C12)^(B12/252))/((1+C11)^(B11/252)))^(252/(B12-B11))-1</f>
        <v>0.142801920390886</v>
      </c>
      <c r="F12" s="34" t="s">
        <v>61</v>
      </c>
      <c r="G12" s="0" t="n">
        <v>504</v>
      </c>
    </row>
    <row r="13" customFormat="false" ht="15" hidden="false" customHeight="false" outlineLevel="0" collapsed="false">
      <c r="A13" s="0" t="s">
        <v>62</v>
      </c>
      <c r="B13" s="0" t="n">
        <v>504</v>
      </c>
      <c r="C13" s="33" t="n">
        <v>0.1446</v>
      </c>
      <c r="D13" s="33" t="n">
        <v>0.1415</v>
      </c>
      <c r="E13" s="33" t="n">
        <f aca="false">(((1+C13)^(B13/252))/((1+C12)^(B12/252)))^(252/(B13-B12))-1</f>
        <v>0.142402304737263</v>
      </c>
      <c r="F13" s="34" t="s">
        <v>63</v>
      </c>
      <c r="G13" s="0" t="n">
        <v>546</v>
      </c>
    </row>
    <row r="14" customFormat="false" ht="15" hidden="false" customHeight="false" outlineLevel="0" collapsed="false">
      <c r="A14" s="0" t="s">
        <v>64</v>
      </c>
      <c r="B14" s="0" t="n">
        <v>546</v>
      </c>
      <c r="C14" s="33" t="n">
        <v>0.1444</v>
      </c>
      <c r="D14" s="33" t="n">
        <v>0.1413</v>
      </c>
      <c r="E14" s="33" t="n">
        <f aca="false">(((1+C14)^(B14/252))/((1+C13)^(B13/252)))^(252/(B14-B13))-1</f>
        <v>0.142002724097434</v>
      </c>
      <c r="F14" s="34" t="s">
        <v>65</v>
      </c>
      <c r="G14" s="0" t="n">
        <v>588</v>
      </c>
    </row>
    <row r="15" customFormat="false" ht="15" hidden="false" customHeight="false" outlineLevel="0" collapsed="false">
      <c r="A15" s="0" t="s">
        <v>66</v>
      </c>
      <c r="B15" s="0" t="n">
        <v>588</v>
      </c>
      <c r="C15" s="33" t="n">
        <v>0.1442</v>
      </c>
      <c r="D15" s="33" t="n">
        <v>0.1411</v>
      </c>
      <c r="E15" s="33" t="n">
        <f aca="false">(((1+C15)^(B15/252))/((1+C14)^(B14/252)))^(252/(B15-B14))-1</f>
        <v>0.141603178483623</v>
      </c>
      <c r="F15" s="34" t="s">
        <v>67</v>
      </c>
      <c r="G15" s="0" t="n">
        <v>630</v>
      </c>
    </row>
    <row r="16" customFormat="false" ht="15" hidden="false" customHeight="false" outlineLevel="0" collapsed="false">
      <c r="A16" s="0" t="s">
        <v>68</v>
      </c>
      <c r="B16" s="0" t="n">
        <v>630</v>
      </c>
      <c r="C16" s="33" t="n">
        <v>0.144</v>
      </c>
      <c r="D16" s="33" t="n">
        <v>0.1409</v>
      </c>
      <c r="E16" s="33" t="n">
        <f aca="false">(((1+C16)^(B16/252))/((1+C15)^(B15/252)))^(252/(B16-B15))-1</f>
        <v>0.14120366790806</v>
      </c>
      <c r="F16" s="34" t="s">
        <v>69</v>
      </c>
      <c r="G16" s="0" t="n">
        <v>672</v>
      </c>
    </row>
    <row r="17" customFormat="false" ht="15" hidden="false" customHeight="false" outlineLevel="0" collapsed="false">
      <c r="A17" s="0" t="s">
        <v>70</v>
      </c>
      <c r="B17" s="0" t="n">
        <v>672</v>
      </c>
      <c r="C17" s="33" t="n">
        <v>0.1438</v>
      </c>
      <c r="D17" s="33" t="n">
        <v>0.1407</v>
      </c>
      <c r="E17" s="33" t="n">
        <f aca="false">(((1+C17)^(B17/252))/((1+C16)^(B16/252)))^(252/(B17-B16))-1</f>
        <v>0.14080419238299</v>
      </c>
      <c r="F17" s="34" t="s">
        <v>71</v>
      </c>
      <c r="G17" s="0" t="n">
        <v>714</v>
      </c>
    </row>
    <row r="18" customFormat="false" ht="15" hidden="false" customHeight="false" outlineLevel="0" collapsed="false">
      <c r="A18" s="0" t="s">
        <v>72</v>
      </c>
      <c r="B18" s="0" t="n">
        <v>714</v>
      </c>
      <c r="C18" s="33" t="n">
        <v>0.1436</v>
      </c>
      <c r="D18" s="33" t="n">
        <v>0.1406</v>
      </c>
      <c r="E18" s="33" t="n">
        <f aca="false">(((1+C18)^(B18/252))/((1+C17)^(B17/252)))^(252/(B18-B17))-1</f>
        <v>0.140404751920645</v>
      </c>
      <c r="F18" s="34" t="s">
        <v>73</v>
      </c>
      <c r="G18" s="0" t="n">
        <v>756</v>
      </c>
    </row>
    <row r="19" customFormat="false" ht="15" hidden="false" customHeight="false" outlineLevel="0" collapsed="false">
      <c r="A19" s="0" t="s">
        <v>74</v>
      </c>
      <c r="B19" s="0" t="n">
        <v>756</v>
      </c>
      <c r="C19" s="33" t="n">
        <v>0.1435</v>
      </c>
      <c r="D19" s="33" t="n">
        <v>0.1405</v>
      </c>
      <c r="E19" s="33" t="n">
        <f aca="false">(((1+C19)^(B19/252))/((1+C18)^(B18/252)))^(252/(B19-B18))-1</f>
        <v>0.141801337256644</v>
      </c>
      <c r="F19" s="34" t="s">
        <v>75</v>
      </c>
      <c r="G19" s="0" t="n">
        <v>798</v>
      </c>
    </row>
    <row r="20" customFormat="false" ht="15" hidden="false" customHeight="false" outlineLevel="0" collapsed="false">
      <c r="A20" s="0" t="s">
        <v>76</v>
      </c>
      <c r="B20" s="0" t="n">
        <v>798</v>
      </c>
      <c r="C20" s="33" t="n">
        <v>0.1433</v>
      </c>
      <c r="D20" s="33" t="n">
        <v>0.1403</v>
      </c>
      <c r="E20" s="33" t="n">
        <f aca="false">(((1+C20)^(B20/252))/((1+C19)^(B19/252)))^(252/(B20-B19))-1</f>
        <v>0.139705975711023</v>
      </c>
      <c r="F20" s="34" t="s">
        <v>77</v>
      </c>
      <c r="G20" s="0" t="n">
        <v>840</v>
      </c>
    </row>
    <row r="21" customFormat="false" ht="15" hidden="false" customHeight="false" outlineLevel="0" collapsed="false">
      <c r="A21" s="0" t="s">
        <v>78</v>
      </c>
      <c r="B21" s="0" t="n">
        <v>840</v>
      </c>
      <c r="C21" s="33" t="n">
        <v>0.1432</v>
      </c>
      <c r="D21" s="33" t="n">
        <v>0.1402</v>
      </c>
      <c r="E21" s="33" t="n">
        <f aca="false">(((1+C21)^(B21/252))/((1+C20)^(B20/252)))^(252/(B21-B20))-1</f>
        <v>0.14130166098422</v>
      </c>
      <c r="F21" s="34" t="s">
        <v>79</v>
      </c>
      <c r="G21" s="0" t="n">
        <v>882</v>
      </c>
    </row>
    <row r="22" customFormat="false" ht="15" hidden="false" customHeight="false" outlineLevel="0" collapsed="false">
      <c r="A22" s="0" t="s">
        <v>80</v>
      </c>
      <c r="B22" s="0" t="n">
        <v>882</v>
      </c>
      <c r="C22" s="33" t="n">
        <v>0.1431</v>
      </c>
      <c r="D22" s="33" t="n">
        <v>0.1401</v>
      </c>
      <c r="E22" s="33" t="n">
        <f aca="false">(((1+C22)^(B22/252))/((1+C21)^(B21/252)))^(252/(B22-B21))-1</f>
        <v>0.141101835931644</v>
      </c>
      <c r="F22" s="34" t="s">
        <v>81</v>
      </c>
      <c r="G22" s="0" t="n">
        <v>924</v>
      </c>
    </row>
    <row r="23" customFormat="false" ht="15" hidden="false" customHeight="false" outlineLevel="0" collapsed="false">
      <c r="A23" s="0" t="s">
        <v>82</v>
      </c>
      <c r="B23" s="0" t="n">
        <v>924</v>
      </c>
      <c r="C23" s="33" t="n">
        <v>0.143</v>
      </c>
      <c r="D23" s="33" t="n">
        <v>0.14</v>
      </c>
      <c r="E23" s="33" t="n">
        <f aca="false">(((1+C23)^(B23/252))/((1+C22)^(B22/252)))^(252/(B23-B22))-1</f>
        <v>0.140902019642504</v>
      </c>
      <c r="F23" s="34" t="s">
        <v>83</v>
      </c>
      <c r="G23" s="0" t="n">
        <v>966</v>
      </c>
    </row>
    <row r="24" customFormat="false" ht="15" hidden="false" customHeight="false" outlineLevel="0" collapsed="false">
      <c r="A24" s="0" t="s">
        <v>84</v>
      </c>
      <c r="B24" s="0" t="n">
        <v>966</v>
      </c>
      <c r="C24" s="33" t="n">
        <v>0.1428</v>
      </c>
      <c r="D24" s="33" t="n">
        <v>0.1398</v>
      </c>
      <c r="E24" s="33" t="n">
        <f aca="false">(((1+C24)^(B24/252))/((1+C23)^(B23/252)))^(252/(B24-B23))-1</f>
        <v>0.138408843058082</v>
      </c>
      <c r="F24" s="34" t="s">
        <v>85</v>
      </c>
      <c r="G24" s="0" t="n">
        <v>1008</v>
      </c>
    </row>
    <row r="25" customFormat="false" ht="15" hidden="false" customHeight="false" outlineLevel="0" collapsed="false">
      <c r="A25" s="0" t="s">
        <v>86</v>
      </c>
      <c r="B25" s="0" t="n">
        <v>1008</v>
      </c>
      <c r="C25" s="33" t="n">
        <v>0.1427</v>
      </c>
      <c r="D25" s="33" t="n">
        <v>0.1397</v>
      </c>
      <c r="E25" s="33" t="n">
        <f aca="false">(((1+C25)^(B25/252))/((1+C24)^(B24/252)))^(252/(B25-B24))-1</f>
        <v>0.140402413571688</v>
      </c>
      <c r="F25" s="34" t="s">
        <v>87</v>
      </c>
      <c r="G25" s="0" t="n">
        <v>1050</v>
      </c>
    </row>
    <row r="26" customFormat="false" ht="15" hidden="false" customHeight="false" outlineLevel="0" collapsed="false">
      <c r="A26" s="0" t="s">
        <v>88</v>
      </c>
      <c r="B26" s="0" t="n">
        <v>1050</v>
      </c>
      <c r="C26" s="33" t="n">
        <v>0.1426</v>
      </c>
      <c r="D26" s="33" t="n">
        <v>0.1396</v>
      </c>
      <c r="E26" s="33" t="n">
        <f aca="false">(((1+C26)^(B26/252))/((1+C25)^(B25/252)))^(252/(B26-B25))-1</f>
        <v>0.140202623600413</v>
      </c>
      <c r="F26" s="34" t="s">
        <v>89</v>
      </c>
      <c r="G26" s="0" t="n">
        <v>1092</v>
      </c>
    </row>
    <row r="27" customFormat="false" ht="15" hidden="false" customHeight="false" outlineLevel="0" collapsed="false">
      <c r="A27" s="0" t="s">
        <v>90</v>
      </c>
      <c r="B27" s="0" t="n">
        <v>1092</v>
      </c>
      <c r="C27" s="33" t="n">
        <v>0.1425</v>
      </c>
      <c r="D27" s="33" t="n">
        <v>0.1395</v>
      </c>
      <c r="E27" s="33" t="n">
        <f aca="false">(((1+C27)^(B27/252))/((1+C26)^(B26/252)))^(252/(B27-B26))-1</f>
        <v>0.140002842399468</v>
      </c>
      <c r="F27" s="34" t="s">
        <v>91</v>
      </c>
      <c r="G27" s="0" t="n">
        <v>1134</v>
      </c>
    </row>
    <row r="28" customFormat="false" ht="15" hidden="false" customHeight="false" outlineLevel="0" collapsed="false">
      <c r="A28" s="0" t="s">
        <v>92</v>
      </c>
      <c r="B28" s="0" t="n">
        <v>1134</v>
      </c>
      <c r="C28" s="33" t="n">
        <v>0.1424</v>
      </c>
      <c r="D28" s="33" t="n">
        <v>0.1394</v>
      </c>
      <c r="E28" s="33" t="n">
        <f aca="false">(((1+C28)^(B28/252))/((1+C27)^(B27/252)))^(252/(B28-B27))-1</f>
        <v>0.13980306997039</v>
      </c>
      <c r="F28" s="34" t="s">
        <v>93</v>
      </c>
      <c r="G28" s="0" t="n">
        <v>1176</v>
      </c>
    </row>
    <row r="29" customFormat="false" ht="15" hidden="false" customHeight="false" outlineLevel="0" collapsed="false">
      <c r="A29" s="0" t="s">
        <v>94</v>
      </c>
      <c r="B29" s="0" t="n">
        <v>1176</v>
      </c>
      <c r="C29" s="33" t="n">
        <v>0.1423</v>
      </c>
      <c r="D29" s="33" t="n">
        <v>0.1393</v>
      </c>
      <c r="E29" s="33" t="n">
        <f aca="false">(((1+C29)^(B29/252))/((1+C28)^(B28/252)))^(252/(B29-B28))-1</f>
        <v>0.139603306314707</v>
      </c>
      <c r="F29" s="34" t="s">
        <v>95</v>
      </c>
      <c r="G29" s="0" t="n">
        <v>1218</v>
      </c>
    </row>
    <row r="30" customFormat="false" ht="15" hidden="false" customHeight="false" outlineLevel="0" collapsed="false">
      <c r="A30" s="0" t="s">
        <v>96</v>
      </c>
      <c r="B30" s="0" t="n">
        <v>1218</v>
      </c>
      <c r="C30" s="33" t="n">
        <v>0.1422</v>
      </c>
      <c r="D30" s="33" t="n">
        <v>0.1392</v>
      </c>
      <c r="E30" s="33" t="n">
        <f aca="false">(((1+C30)^(B30/252))/((1+C29)^(B29/252)))^(252/(B30-B29))-1</f>
        <v>0.139403551433951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5BA0"/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7" min="3" style="0" width="2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2.05" hidden="false" customHeight="false" outlineLevel="0" collapsed="false">
      <c r="A2" s="1"/>
      <c r="B2" s="2" t="s">
        <v>97</v>
      </c>
      <c r="C2" s="2"/>
      <c r="D2" s="2"/>
      <c r="E2" s="2"/>
      <c r="F2" s="2"/>
      <c r="G2" s="2"/>
      <c r="H2" s="1"/>
      <c r="I2" s="1"/>
      <c r="J2" s="1"/>
    </row>
    <row r="3" customFormat="false" ht="15" hidden="false" customHeight="false" outlineLevel="0" collapsed="false">
      <c r="A3" s="1"/>
      <c r="B3" s="35" t="s">
        <v>98</v>
      </c>
      <c r="C3" s="35"/>
      <c r="D3" s="35"/>
      <c r="E3" s="35"/>
      <c r="F3" s="35"/>
      <c r="G3" s="35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36" t="s">
        <v>99</v>
      </c>
      <c r="C5" s="36" t="s">
        <v>100</v>
      </c>
      <c r="D5" s="36" t="s">
        <v>101</v>
      </c>
      <c r="E5" s="36" t="s">
        <v>102</v>
      </c>
      <c r="F5" s="36" t="s">
        <v>103</v>
      </c>
      <c r="G5" s="36" t="s">
        <v>104</v>
      </c>
      <c r="H5" s="1"/>
      <c r="I5" s="1"/>
      <c r="J5" s="1"/>
    </row>
    <row r="6" customFormat="false" ht="15" hidden="false" customHeight="false" outlineLevel="0" collapsed="false">
      <c r="A6" s="1"/>
      <c r="B6" s="37" t="n">
        <v>42</v>
      </c>
      <c r="C6" s="38" t="n">
        <v>0.1493</v>
      </c>
      <c r="D6" s="39" t="n">
        <f aca="false">Aux!E2</f>
        <v>0.1493</v>
      </c>
      <c r="E6" s="40" t="n">
        <f aca="false">1/((1+C6)^(B6/252))</f>
        <v>0.977074694544822</v>
      </c>
      <c r="F6" s="41" t="s">
        <v>105</v>
      </c>
      <c r="G6" s="42" t="n">
        <v>0.1458</v>
      </c>
      <c r="H6" s="1"/>
      <c r="I6" s="1"/>
      <c r="J6" s="1"/>
    </row>
    <row r="7" customFormat="false" ht="15" hidden="false" customHeight="false" outlineLevel="0" collapsed="false">
      <c r="A7" s="1"/>
      <c r="B7" s="43" t="n">
        <v>84</v>
      </c>
      <c r="C7" s="42" t="n">
        <v>0.1485</v>
      </c>
      <c r="D7" s="39" t="n">
        <f aca="false">Aux!E3</f>
        <v>0.147700556860697</v>
      </c>
      <c r="E7" s="40" t="n">
        <f aca="false">1/((1+C7)^(B7/252))</f>
        <v>0.954896570301673</v>
      </c>
      <c r="F7" s="44" t="s">
        <v>106</v>
      </c>
      <c r="G7" s="42" t="n">
        <v>0.145</v>
      </c>
      <c r="H7" s="1"/>
      <c r="I7" s="1"/>
      <c r="J7" s="1"/>
    </row>
    <row r="8" customFormat="false" ht="15" hidden="false" customHeight="false" outlineLevel="0" collapsed="false">
      <c r="A8" s="1"/>
      <c r="B8" s="37" t="n">
        <v>126</v>
      </c>
      <c r="C8" s="38" t="n">
        <v>0.1478</v>
      </c>
      <c r="D8" s="39" t="n">
        <f aca="false">Aux!E4</f>
        <v>0.146401279670308</v>
      </c>
      <c r="E8" s="40" t="n">
        <f aca="false">1/((1+C8)^(B8/252))</f>
        <v>0.933398051175178</v>
      </c>
      <c r="F8" s="41" t="s">
        <v>105</v>
      </c>
      <c r="G8" s="42" t="n">
        <v>0.1442</v>
      </c>
      <c r="H8" s="1"/>
      <c r="I8" s="1"/>
      <c r="J8" s="1"/>
    </row>
    <row r="9" customFormat="false" ht="15" hidden="false" customHeight="false" outlineLevel="0" collapsed="false">
      <c r="A9" s="1"/>
      <c r="B9" s="43" t="n">
        <v>168</v>
      </c>
      <c r="C9" s="42" t="n">
        <v>0.1472</v>
      </c>
      <c r="D9" s="39" t="n">
        <f aca="false">Aux!E5</f>
        <v>0.145401881205222</v>
      </c>
      <c r="E9" s="40" t="n">
        <f aca="false">1/((1+C9)^(B9/252))</f>
        <v>0.912516181460357</v>
      </c>
      <c r="F9" s="44" t="s">
        <v>106</v>
      </c>
      <c r="G9" s="42" t="n">
        <v>0.1437</v>
      </c>
      <c r="H9" s="1"/>
      <c r="I9" s="1"/>
      <c r="J9" s="1"/>
    </row>
    <row r="10" customFormat="false" ht="15" hidden="false" customHeight="false" outlineLevel="0" collapsed="false">
      <c r="A10" s="1"/>
      <c r="B10" s="43" t="n">
        <v>210</v>
      </c>
      <c r="C10" s="42" t="n">
        <v>0.1466</v>
      </c>
      <c r="D10" s="39" t="n">
        <f aca="false">Aux!E6</f>
        <v>0.144203136434491</v>
      </c>
      <c r="E10" s="40" t="n">
        <f aca="false">1/((1+C10)^(B10/252))</f>
        <v>0.892257181483034</v>
      </c>
      <c r="F10" s="44" t="s">
        <v>106</v>
      </c>
      <c r="G10" s="42" t="n">
        <v>0.1433</v>
      </c>
      <c r="H10" s="1"/>
      <c r="I10" s="1"/>
      <c r="J10" s="1"/>
    </row>
    <row r="11" customFormat="false" ht="15" hidden="false" customHeight="false" outlineLevel="0" collapsed="false">
      <c r="A11" s="1"/>
      <c r="B11" s="37" t="n">
        <v>252</v>
      </c>
      <c r="C11" s="38" t="n">
        <v>0.1462</v>
      </c>
      <c r="D11" s="39" t="n">
        <f aca="false">Aux!E7</f>
        <v>0.144202092171593</v>
      </c>
      <c r="E11" s="40" t="n">
        <f aca="false">1/((1+C11)^(B11/252))</f>
        <v>0.872448089338685</v>
      </c>
      <c r="F11" s="41" t="s">
        <v>105</v>
      </c>
      <c r="G11" s="42" t="n">
        <v>0.143</v>
      </c>
      <c r="H11" s="1"/>
      <c r="I11" s="1"/>
      <c r="J11" s="1"/>
    </row>
    <row r="12" customFormat="false" ht="15" hidden="false" customHeight="false" outlineLevel="0" collapsed="false">
      <c r="A12" s="1"/>
      <c r="B12" s="43" t="n">
        <v>294</v>
      </c>
      <c r="C12" s="42" t="n">
        <v>0.1458</v>
      </c>
      <c r="D12" s="39" t="n">
        <f aca="false">Aux!E8</f>
        <v>0.143402929721165</v>
      </c>
      <c r="E12" s="40" t="n">
        <f aca="false">1/((1+C12)^(B12/252))</f>
        <v>0.853178126132656</v>
      </c>
      <c r="F12" s="44" t="s">
        <v>106</v>
      </c>
      <c r="G12" s="42" t="n">
        <v>0.1427</v>
      </c>
      <c r="H12" s="1"/>
      <c r="I12" s="1"/>
      <c r="J12" s="1"/>
    </row>
    <row r="13" customFormat="false" ht="15" hidden="false" customHeight="false" outlineLevel="0" collapsed="false">
      <c r="A13" s="1"/>
      <c r="B13" s="43" t="n">
        <v>336</v>
      </c>
      <c r="C13" s="42" t="n">
        <v>0.1455</v>
      </c>
      <c r="D13" s="39" t="n">
        <f aca="false">Aux!E9</f>
        <v>0.143402198185398</v>
      </c>
      <c r="E13" s="40" t="n">
        <f aca="false">1/((1+C13)^(B13/252))</f>
        <v>0.834333872037445</v>
      </c>
      <c r="F13" s="44" t="s">
        <v>106</v>
      </c>
      <c r="G13" s="42" t="n">
        <v>0.1424</v>
      </c>
      <c r="H13" s="1"/>
      <c r="I13" s="1"/>
      <c r="J13" s="1"/>
    </row>
    <row r="14" customFormat="false" ht="15" hidden="false" customHeight="false" outlineLevel="0" collapsed="false">
      <c r="A14" s="1"/>
      <c r="B14" s="43" t="n">
        <v>378</v>
      </c>
      <c r="C14" s="42" t="n">
        <v>0.1453</v>
      </c>
      <c r="D14" s="39" t="n">
        <f aca="false">Aux!E10</f>
        <v>0.143701256580978</v>
      </c>
      <c r="E14" s="40" t="n">
        <f aca="false">1/((1+C14)^(B14/252))</f>
        <v>0.815870271931964</v>
      </c>
      <c r="F14" s="44" t="s">
        <v>106</v>
      </c>
      <c r="G14" s="42" t="n">
        <v>0.1422</v>
      </c>
      <c r="H14" s="1"/>
      <c r="I14" s="1"/>
      <c r="J14" s="1"/>
    </row>
    <row r="15" customFormat="false" ht="15" hidden="false" customHeight="false" outlineLevel="0" collapsed="false">
      <c r="A15" s="1"/>
      <c r="B15" s="43" t="n">
        <v>420</v>
      </c>
      <c r="C15" s="42" t="n">
        <v>0.145</v>
      </c>
      <c r="D15" s="39" t="n">
        <f aca="false">Aux!E11</f>
        <v>0.142303533722468</v>
      </c>
      <c r="E15" s="40" t="n">
        <f aca="false">1/((1+C15)^(B15/252))</f>
        <v>0.797977884950992</v>
      </c>
      <c r="F15" s="44" t="s">
        <v>106</v>
      </c>
      <c r="G15" s="42" t="n">
        <v>0.1419</v>
      </c>
      <c r="H15" s="1"/>
      <c r="I15" s="1"/>
      <c r="J15" s="1"/>
    </row>
    <row r="16" customFormat="false" ht="15" hidden="false" customHeight="false" outlineLevel="0" collapsed="false">
      <c r="A16" s="1"/>
      <c r="B16" s="43" t="n">
        <v>462</v>
      </c>
      <c r="C16" s="42" t="n">
        <v>0.1448</v>
      </c>
      <c r="D16" s="39" t="n">
        <f aca="false">Aux!E12</f>
        <v>0.142801920390886</v>
      </c>
      <c r="E16" s="40" t="n">
        <f aca="false">1/((1+C16)^(B16/252))</f>
        <v>0.780421146465065</v>
      </c>
      <c r="F16" s="44" t="s">
        <v>106</v>
      </c>
      <c r="G16" s="42" t="n">
        <v>0.1417</v>
      </c>
      <c r="H16" s="1"/>
      <c r="I16" s="1"/>
      <c r="J16" s="1"/>
    </row>
    <row r="17" customFormat="false" ht="15" hidden="false" customHeight="false" outlineLevel="0" collapsed="false">
      <c r="A17" s="1"/>
      <c r="B17" s="37" t="n">
        <v>504</v>
      </c>
      <c r="C17" s="38" t="n">
        <v>0.1446</v>
      </c>
      <c r="D17" s="39" t="n">
        <f aca="false">Aux!E13</f>
        <v>0.142402304737263</v>
      </c>
      <c r="E17" s="40" t="n">
        <f aca="false">1/((1+C17)^(B17/252))</f>
        <v>0.763295174579193</v>
      </c>
      <c r="F17" s="41" t="s">
        <v>105</v>
      </c>
      <c r="G17" s="42" t="n">
        <v>0.1415</v>
      </c>
      <c r="H17" s="1"/>
      <c r="I17" s="1"/>
      <c r="J17" s="1"/>
    </row>
    <row r="18" customFormat="false" ht="15" hidden="false" customHeight="false" outlineLevel="0" collapsed="false">
      <c r="A18" s="1"/>
      <c r="B18" s="43" t="n">
        <v>546</v>
      </c>
      <c r="C18" s="42" t="n">
        <v>0.1444</v>
      </c>
      <c r="D18" s="39" t="n">
        <f aca="false">Aux!E14</f>
        <v>0.142002724097434</v>
      </c>
      <c r="E18" s="40" t="n">
        <f aca="false">1/((1+C18)^(B18/252))</f>
        <v>0.746588553028695</v>
      </c>
      <c r="F18" s="44" t="s">
        <v>106</v>
      </c>
      <c r="G18" s="42" t="n">
        <v>0.1413</v>
      </c>
      <c r="H18" s="1"/>
      <c r="I18" s="1"/>
      <c r="J18" s="1"/>
    </row>
    <row r="19" customFormat="false" ht="15" hidden="false" customHeight="false" outlineLevel="0" collapsed="false">
      <c r="A19" s="1"/>
      <c r="B19" s="43" t="n">
        <v>588</v>
      </c>
      <c r="C19" s="42" t="n">
        <v>0.1442</v>
      </c>
      <c r="D19" s="39" t="n">
        <f aca="false">Aux!E15</f>
        <v>0.141603178483623</v>
      </c>
      <c r="E19" s="40" t="n">
        <f aca="false">1/((1+C19)^(B19/252))</f>
        <v>0.730290187536562</v>
      </c>
      <c r="F19" s="44" t="s">
        <v>106</v>
      </c>
      <c r="G19" s="42" t="n">
        <v>0.1411</v>
      </c>
      <c r="H19" s="1"/>
      <c r="I19" s="1"/>
      <c r="J19" s="1"/>
    </row>
    <row r="20" customFormat="false" ht="15" hidden="false" customHeight="false" outlineLevel="0" collapsed="false">
      <c r="A20" s="1"/>
      <c r="B20" s="43" t="n">
        <v>630</v>
      </c>
      <c r="C20" s="42" t="n">
        <v>0.144</v>
      </c>
      <c r="D20" s="39" t="n">
        <f aca="false">Aux!E16</f>
        <v>0.14120366790806</v>
      </c>
      <c r="E20" s="40" t="n">
        <f aca="false">1/((1+C20)^(B20/252))</f>
        <v>0.714389296243442</v>
      </c>
      <c r="F20" s="44" t="s">
        <v>106</v>
      </c>
      <c r="G20" s="42" t="n">
        <v>0.1409</v>
      </c>
      <c r="H20" s="1"/>
      <c r="I20" s="1"/>
      <c r="J20" s="1"/>
    </row>
    <row r="21" customFormat="false" ht="15" hidden="false" customHeight="false" outlineLevel="0" collapsed="false">
      <c r="A21" s="1"/>
      <c r="B21" s="43" t="n">
        <v>672</v>
      </c>
      <c r="C21" s="42" t="n">
        <v>0.1438</v>
      </c>
      <c r="D21" s="39" t="n">
        <f aca="false">Aux!E17</f>
        <v>0.14080419238299</v>
      </c>
      <c r="E21" s="40" t="n">
        <f aca="false">1/((1+C21)^(B21/252))</f>
        <v>0.698875400435305</v>
      </c>
      <c r="F21" s="44" t="s">
        <v>106</v>
      </c>
      <c r="G21" s="42" t="n">
        <v>0.1407</v>
      </c>
      <c r="H21" s="1"/>
      <c r="I21" s="1"/>
      <c r="J21" s="1"/>
    </row>
    <row r="22" customFormat="false" ht="15" hidden="false" customHeight="false" outlineLevel="0" collapsed="false">
      <c r="A22" s="1"/>
      <c r="B22" s="43" t="n">
        <v>714</v>
      </c>
      <c r="C22" s="42" t="n">
        <v>0.1436</v>
      </c>
      <c r="D22" s="39" t="n">
        <f aca="false">Aux!E18</f>
        <v>0.140404751920645</v>
      </c>
      <c r="E22" s="40" t="n">
        <f aca="false">1/((1+C22)^(B22/252))</f>
        <v>0.683738315559145</v>
      </c>
      <c r="F22" s="44" t="s">
        <v>106</v>
      </c>
      <c r="G22" s="42" t="n">
        <v>0.1406</v>
      </c>
      <c r="H22" s="1"/>
      <c r="I22" s="1"/>
      <c r="J22" s="1"/>
    </row>
    <row r="23" customFormat="false" ht="15" hidden="false" customHeight="false" outlineLevel="0" collapsed="false">
      <c r="A23" s="1"/>
      <c r="B23" s="37" t="n">
        <v>756</v>
      </c>
      <c r="C23" s="38" t="n">
        <v>0.1435</v>
      </c>
      <c r="D23" s="39" t="n">
        <f aca="false">Aux!E19</f>
        <v>0.141801337256644</v>
      </c>
      <c r="E23" s="40" t="n">
        <f aca="false">1/((1+C23)^(B23/252))</f>
        <v>0.668792652449435</v>
      </c>
      <c r="F23" s="41" t="s">
        <v>105</v>
      </c>
      <c r="G23" s="42" t="n">
        <v>0.1405</v>
      </c>
      <c r="H23" s="1"/>
      <c r="I23" s="1"/>
      <c r="J23" s="1"/>
    </row>
    <row r="24" customFormat="false" ht="15" hidden="false" customHeight="false" outlineLevel="0" collapsed="false">
      <c r="A24" s="1"/>
      <c r="B24" s="43" t="n">
        <v>798</v>
      </c>
      <c r="C24" s="42" t="n">
        <v>0.1433</v>
      </c>
      <c r="D24" s="39" t="n">
        <f aca="false">Aux!E20</f>
        <v>0.139705975711023</v>
      </c>
      <c r="E24" s="40" t="n">
        <f aca="false">1/((1+C24)^(B24/252))</f>
        <v>0.654373980309397</v>
      </c>
      <c r="F24" s="44" t="s">
        <v>106</v>
      </c>
      <c r="G24" s="42" t="n">
        <v>0.1403</v>
      </c>
      <c r="H24" s="1"/>
      <c r="I24" s="1"/>
      <c r="J24" s="1"/>
    </row>
    <row r="25" customFormat="false" ht="15" hidden="false" customHeight="false" outlineLevel="0" collapsed="false">
      <c r="A25" s="1"/>
      <c r="B25" s="43" t="n">
        <v>840</v>
      </c>
      <c r="C25" s="42" t="n">
        <v>0.1432</v>
      </c>
      <c r="D25" s="39" t="n">
        <f aca="false">Aux!E21</f>
        <v>0.14130166098422</v>
      </c>
      <c r="E25" s="40" t="n">
        <f aca="false">1/((1+C25)^(B25/252))</f>
        <v>0.64011688140224</v>
      </c>
      <c r="F25" s="44" t="s">
        <v>106</v>
      </c>
      <c r="G25" s="42" t="n">
        <v>0.1402</v>
      </c>
      <c r="H25" s="1"/>
      <c r="I25" s="1"/>
      <c r="J25" s="1"/>
    </row>
    <row r="26" customFormat="false" ht="15" hidden="false" customHeight="false" outlineLevel="0" collapsed="false">
      <c r="A26" s="1"/>
      <c r="B26" s="43" t="n">
        <v>882</v>
      </c>
      <c r="C26" s="42" t="n">
        <v>0.1431</v>
      </c>
      <c r="D26" s="39" t="n">
        <f aca="false">Aux!E22</f>
        <v>0.141101835931644</v>
      </c>
      <c r="E26" s="40" t="n">
        <f aca="false">1/((1+C26)^(B26/252))</f>
        <v>0.626188681484846</v>
      </c>
      <c r="F26" s="44" t="s">
        <v>106</v>
      </c>
      <c r="G26" s="42" t="n">
        <v>0.1401</v>
      </c>
      <c r="H26" s="1"/>
      <c r="I26" s="1"/>
      <c r="J26" s="1"/>
    </row>
    <row r="27" customFormat="false" ht="15" hidden="false" customHeight="false" outlineLevel="0" collapsed="false">
      <c r="A27" s="1"/>
      <c r="B27" s="43" t="n">
        <v>924</v>
      </c>
      <c r="C27" s="42" t="n">
        <v>0.143</v>
      </c>
      <c r="D27" s="39" t="n">
        <f aca="false">Aux!E23</f>
        <v>0.140902019642504</v>
      </c>
      <c r="E27" s="40" t="n">
        <f aca="false">1/((1+C27)^(B27/252))</f>
        <v>0.6125814223313</v>
      </c>
      <c r="F27" s="44" t="s">
        <v>106</v>
      </c>
      <c r="G27" s="42" t="n">
        <v>0.14</v>
      </c>
      <c r="H27" s="1"/>
      <c r="I27" s="1"/>
      <c r="J27" s="1"/>
    </row>
    <row r="28" customFormat="false" ht="15" hidden="false" customHeight="false" outlineLevel="0" collapsed="false">
      <c r="A28" s="1"/>
      <c r="B28" s="43" t="n">
        <v>966</v>
      </c>
      <c r="C28" s="42" t="n">
        <v>0.1428</v>
      </c>
      <c r="D28" s="39" t="n">
        <f aca="false">Aux!E24</f>
        <v>0.138408843058082</v>
      </c>
      <c r="E28" s="40" t="n">
        <f aca="false">1/((1+C28)^(B28/252))</f>
        <v>0.599488392341022</v>
      </c>
      <c r="F28" s="44" t="s">
        <v>106</v>
      </c>
      <c r="G28" s="42" t="n">
        <v>0.1398</v>
      </c>
      <c r="H28" s="1"/>
      <c r="I28" s="1"/>
      <c r="J28" s="1"/>
    </row>
    <row r="29" customFormat="false" ht="15" hidden="false" customHeight="false" outlineLevel="0" collapsed="false">
      <c r="A29" s="1"/>
      <c r="B29" s="37" t="n">
        <v>1008</v>
      </c>
      <c r="C29" s="38" t="n">
        <v>0.1427</v>
      </c>
      <c r="D29" s="39" t="n">
        <f aca="false">Aux!E25</f>
        <v>0.140402413571688</v>
      </c>
      <c r="E29" s="40" t="n">
        <f aca="false">1/((1+C29)^(B29/252))</f>
        <v>0.586504151382794</v>
      </c>
      <c r="F29" s="41" t="s">
        <v>105</v>
      </c>
      <c r="G29" s="42" t="n">
        <v>0.1397</v>
      </c>
      <c r="H29" s="1"/>
      <c r="I29" s="1"/>
      <c r="J29" s="1"/>
    </row>
    <row r="30" customFormat="false" ht="15" hidden="false" customHeight="false" outlineLevel="0" collapsed="false">
      <c r="A30" s="1"/>
      <c r="B30" s="43" t="n">
        <v>1050</v>
      </c>
      <c r="C30" s="42" t="n">
        <v>0.1426</v>
      </c>
      <c r="D30" s="39" t="n">
        <f aca="false">Aux!E26</f>
        <v>0.140202623600413</v>
      </c>
      <c r="E30" s="40" t="n">
        <f aca="false">1/((1+C30)^(B30/252))</f>
        <v>0.573817890397343</v>
      </c>
      <c r="F30" s="44" t="s">
        <v>106</v>
      </c>
      <c r="G30" s="42" t="n">
        <v>0.1396</v>
      </c>
      <c r="H30" s="1"/>
      <c r="I30" s="1"/>
      <c r="J30" s="1"/>
    </row>
    <row r="31" customFormat="false" ht="15" hidden="false" customHeight="false" outlineLevel="0" collapsed="false">
      <c r="A31" s="1"/>
      <c r="B31" s="43" t="n">
        <v>1092</v>
      </c>
      <c r="C31" s="42" t="n">
        <v>0.1425</v>
      </c>
      <c r="D31" s="39" t="n">
        <f aca="false">Aux!E27</f>
        <v>0.140002842399468</v>
      </c>
      <c r="E31" s="40" t="n">
        <f aca="false">1/((1+C31)^(B31/252))</f>
        <v>0.561422433232842</v>
      </c>
      <c r="F31" s="44" t="s">
        <v>106</v>
      </c>
      <c r="G31" s="42" t="n">
        <v>0.1395</v>
      </c>
      <c r="H31" s="1"/>
      <c r="I31" s="1"/>
      <c r="J31" s="1"/>
    </row>
    <row r="32" customFormat="false" ht="15" hidden="false" customHeight="false" outlineLevel="0" collapsed="false">
      <c r="A32" s="1"/>
      <c r="B32" s="43" t="n">
        <v>1134</v>
      </c>
      <c r="C32" s="42" t="n">
        <v>0.1424</v>
      </c>
      <c r="D32" s="39" t="n">
        <f aca="false">Aux!E28</f>
        <v>0.13980306997039</v>
      </c>
      <c r="E32" s="40" t="n">
        <f aca="false">1/((1+C32)^(B32/252))</f>
        <v>0.549310783919092</v>
      </c>
      <c r="F32" s="44" t="s">
        <v>106</v>
      </c>
      <c r="G32" s="42" t="n">
        <v>0.1394</v>
      </c>
      <c r="H32" s="1"/>
      <c r="I32" s="1"/>
      <c r="J32" s="1"/>
    </row>
    <row r="33" customFormat="false" ht="15" hidden="false" customHeight="false" outlineLevel="0" collapsed="false">
      <c r="A33" s="1"/>
      <c r="B33" s="43" t="n">
        <v>1176</v>
      </c>
      <c r="C33" s="42" t="n">
        <v>0.1423</v>
      </c>
      <c r="D33" s="39" t="n">
        <f aca="false">Aux!E29</f>
        <v>0.139603306314707</v>
      </c>
      <c r="E33" s="40" t="n">
        <f aca="false">1/((1+C33)^(B33/252))</f>
        <v>0.53747612197326</v>
      </c>
      <c r="F33" s="44" t="s">
        <v>106</v>
      </c>
      <c r="G33" s="42" t="n">
        <v>0.1393</v>
      </c>
      <c r="H33" s="1"/>
      <c r="I33" s="1"/>
      <c r="J33" s="1"/>
    </row>
    <row r="34" customFormat="false" ht="15" hidden="false" customHeight="false" outlineLevel="0" collapsed="false">
      <c r="A34" s="1"/>
      <c r="B34" s="43" t="n">
        <v>1218</v>
      </c>
      <c r="C34" s="42" t="n">
        <v>0.1422</v>
      </c>
      <c r="D34" s="39" t="n">
        <f aca="false">Aux!E30</f>
        <v>0.139403551433951</v>
      </c>
      <c r="E34" s="40" t="n">
        <f aca="false">1/((1+C34)^(B34/252))</f>
        <v>0.525911797832052</v>
      </c>
      <c r="F34" s="44" t="s">
        <v>106</v>
      </c>
      <c r="G34" s="42" t="n">
        <v>0.1392</v>
      </c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20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2.05" hidden="false" customHeight="false" outlineLevel="0" collapsed="false">
      <c r="A2" s="1"/>
      <c r="B2" s="2" t="s">
        <v>107</v>
      </c>
      <c r="C2" s="2"/>
      <c r="D2" s="2"/>
      <c r="E2" s="2"/>
      <c r="F2" s="2"/>
      <c r="G2" s="2"/>
      <c r="H2" s="2"/>
      <c r="I2" s="1"/>
      <c r="J2" s="1"/>
    </row>
    <row r="3" customFormat="false" ht="15" hidden="false" customHeight="false" outlineLevel="0" collapsed="false">
      <c r="A3" s="1"/>
      <c r="B3" s="35" t="s">
        <v>108</v>
      </c>
      <c r="C3" s="35"/>
      <c r="D3" s="35"/>
      <c r="E3" s="35"/>
      <c r="F3" s="35"/>
      <c r="G3" s="35"/>
      <c r="H3" s="35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36" t="s">
        <v>99</v>
      </c>
      <c r="C5" s="36" t="s">
        <v>109</v>
      </c>
      <c r="D5" s="36" t="s">
        <v>110</v>
      </c>
      <c r="E5" s="36" t="s">
        <v>111</v>
      </c>
      <c r="F5" s="36" t="s">
        <v>112</v>
      </c>
      <c r="G5" s="1"/>
      <c r="H5" s="24" t="s">
        <v>113</v>
      </c>
      <c r="I5" s="5"/>
      <c r="J5" s="1"/>
    </row>
    <row r="6" customFormat="false" ht="19.7" hidden="false" customHeight="false" outlineLevel="0" collapsed="false">
      <c r="A6" s="1"/>
      <c r="B6" s="37" t="n">
        <v>21</v>
      </c>
      <c r="C6" s="38" t="n">
        <v>0.1495</v>
      </c>
      <c r="D6" s="42" t="n">
        <v>0.146</v>
      </c>
      <c r="E6" s="45" t="n">
        <f aca="false">(C6-D6)*10000</f>
        <v>35</v>
      </c>
      <c r="F6" s="46" t="s">
        <v>114</v>
      </c>
      <c r="G6" s="1"/>
      <c r="H6" s="47" t="n">
        <f aca="false">AVERAGE(E6:E16)</f>
        <v>32.090909090909</v>
      </c>
      <c r="I6" s="5"/>
      <c r="J6" s="1"/>
    </row>
    <row r="7" customFormat="false" ht="15" hidden="false" customHeight="false" outlineLevel="0" collapsed="false">
      <c r="A7" s="1"/>
      <c r="B7" s="37" t="n">
        <v>42</v>
      </c>
      <c r="C7" s="38" t="n">
        <v>0.1492</v>
      </c>
      <c r="D7" s="42" t="n">
        <v>0.1458</v>
      </c>
      <c r="E7" s="45" t="n">
        <f aca="false">(C7-D7)*10000</f>
        <v>33.9999999999999</v>
      </c>
      <c r="F7" s="46" t="s">
        <v>114</v>
      </c>
      <c r="G7" s="1"/>
      <c r="H7" s="8" t="s">
        <v>115</v>
      </c>
      <c r="I7" s="5"/>
      <c r="J7" s="1"/>
    </row>
    <row r="8" customFormat="false" ht="15" hidden="false" customHeight="false" outlineLevel="0" collapsed="false">
      <c r="A8" s="1"/>
      <c r="B8" s="37" t="n">
        <v>63</v>
      </c>
      <c r="C8" s="38" t="n">
        <v>0.1489</v>
      </c>
      <c r="D8" s="42" t="n">
        <v>0.1455</v>
      </c>
      <c r="E8" s="45" t="n">
        <f aca="false">(C8-D8)*10000</f>
        <v>34.0000000000001</v>
      </c>
      <c r="F8" s="46" t="s">
        <v>114</v>
      </c>
      <c r="G8" s="1"/>
      <c r="H8" s="24" t="s">
        <v>116</v>
      </c>
      <c r="I8" s="5"/>
      <c r="J8" s="1"/>
    </row>
    <row r="9" customFormat="false" ht="19.7" hidden="false" customHeight="false" outlineLevel="0" collapsed="false">
      <c r="A9" s="1"/>
      <c r="B9" s="37" t="n">
        <v>126</v>
      </c>
      <c r="C9" s="38" t="n">
        <v>0.1478</v>
      </c>
      <c r="D9" s="42" t="n">
        <v>0.1442</v>
      </c>
      <c r="E9" s="45" t="n">
        <f aca="false">(C9-D9)*10000</f>
        <v>35.9999999999999</v>
      </c>
      <c r="F9" s="46" t="s">
        <v>114</v>
      </c>
      <c r="G9" s="1"/>
      <c r="H9" s="48" t="str">
        <f aca="false">IF(ABS(E16-E6)&gt;10, IF(E16&gt;E6, "Steepening", "Flattening"), "Paralelo")</f>
        <v>Paralelo</v>
      </c>
      <c r="I9" s="5"/>
      <c r="J9" s="1"/>
    </row>
    <row r="10" customFormat="false" ht="15" hidden="false" customHeight="false" outlineLevel="0" collapsed="false">
      <c r="A10" s="1"/>
      <c r="B10" s="37" t="n">
        <v>252</v>
      </c>
      <c r="C10" s="38" t="n">
        <v>0.1462</v>
      </c>
      <c r="D10" s="42" t="n">
        <v>0.143</v>
      </c>
      <c r="E10" s="45" t="n">
        <f aca="false">(C10-D10)*10000</f>
        <v>32.0000000000001</v>
      </c>
      <c r="F10" s="46" t="s">
        <v>114</v>
      </c>
      <c r="G10" s="1"/>
      <c r="H10" s="8" t="str">
        <f aca="false">CONCATENATE("Longo: ",TEXT(E16,"+0;-0")," bps | Curto: ",TEXT(E6,"+0;-0")," bps")</f>
        <v>Longo: +30 bps | Curto: +35 bps</v>
      </c>
      <c r="I10" s="5"/>
      <c r="J10" s="1"/>
    </row>
    <row r="11" customFormat="false" ht="15" hidden="false" customHeight="false" outlineLevel="0" collapsed="false">
      <c r="A11" s="1"/>
      <c r="B11" s="37" t="n">
        <v>504</v>
      </c>
      <c r="C11" s="38" t="n">
        <v>0.145</v>
      </c>
      <c r="D11" s="42" t="n">
        <v>0.1418</v>
      </c>
      <c r="E11" s="45" t="n">
        <f aca="false">(C11-D11)*10000</f>
        <v>31.9999999999998</v>
      </c>
      <c r="F11" s="46" t="s">
        <v>114</v>
      </c>
      <c r="G11" s="1"/>
      <c r="H11" s="1"/>
      <c r="I11" s="1"/>
      <c r="J11" s="1"/>
    </row>
    <row r="12" customFormat="false" ht="15" hidden="false" customHeight="false" outlineLevel="0" collapsed="false">
      <c r="A12" s="1"/>
      <c r="B12" s="37" t="n">
        <v>756</v>
      </c>
      <c r="C12" s="38" t="n">
        <v>0.1435</v>
      </c>
      <c r="D12" s="42" t="n">
        <v>0.1405</v>
      </c>
      <c r="E12" s="45" t="n">
        <f aca="false">(C12-D12)*10000</f>
        <v>29.9999999999997</v>
      </c>
      <c r="F12" s="46" t="s">
        <v>114</v>
      </c>
      <c r="G12" s="1"/>
      <c r="H12" s="1"/>
      <c r="I12" s="1"/>
      <c r="J12" s="1"/>
    </row>
    <row r="13" customFormat="false" ht="15" hidden="false" customHeight="false" outlineLevel="0" collapsed="false">
      <c r="A13" s="1"/>
      <c r="B13" s="37" t="n">
        <v>1008</v>
      </c>
      <c r="C13" s="38" t="n">
        <v>0.1428</v>
      </c>
      <c r="D13" s="42" t="n">
        <v>0.1398</v>
      </c>
      <c r="E13" s="45" t="n">
        <f aca="false">(C13-D13)*10000</f>
        <v>30</v>
      </c>
      <c r="F13" s="46" t="s">
        <v>114</v>
      </c>
      <c r="G13" s="1"/>
      <c r="H13" s="1"/>
      <c r="I13" s="1"/>
      <c r="J13" s="1"/>
    </row>
    <row r="14" customFormat="false" ht="15" hidden="false" customHeight="false" outlineLevel="0" collapsed="false">
      <c r="A14" s="1"/>
      <c r="B14" s="37" t="n">
        <v>1260</v>
      </c>
      <c r="C14" s="38" t="n">
        <v>0.1425</v>
      </c>
      <c r="D14" s="42" t="n">
        <v>0.1395</v>
      </c>
      <c r="E14" s="45" t="n">
        <f aca="false">(C14-D14)*10000</f>
        <v>29.9999999999997</v>
      </c>
      <c r="F14" s="46" t="s">
        <v>114</v>
      </c>
      <c r="G14" s="1"/>
      <c r="H14" s="1"/>
      <c r="I14" s="1"/>
      <c r="J14" s="1"/>
    </row>
    <row r="15" customFormat="false" ht="15" hidden="false" customHeight="false" outlineLevel="0" collapsed="false">
      <c r="A15" s="1"/>
      <c r="B15" s="37" t="n">
        <v>1890</v>
      </c>
      <c r="C15" s="38" t="n">
        <v>0.1422</v>
      </c>
      <c r="D15" s="42" t="n">
        <v>0.1392</v>
      </c>
      <c r="E15" s="45" t="n">
        <f aca="false">(C15-D15)*10000</f>
        <v>30</v>
      </c>
      <c r="F15" s="46" t="s">
        <v>114</v>
      </c>
      <c r="G15" s="1"/>
      <c r="H15" s="1"/>
      <c r="I15" s="1"/>
      <c r="J15" s="1"/>
    </row>
    <row r="16" customFormat="false" ht="15" hidden="false" customHeight="false" outlineLevel="0" collapsed="false">
      <c r="A16" s="1"/>
      <c r="B16" s="37" t="n">
        <v>2520</v>
      </c>
      <c r="C16" s="38" t="n">
        <v>0.142</v>
      </c>
      <c r="D16" s="42" t="n">
        <v>0.139</v>
      </c>
      <c r="E16" s="45" t="n">
        <f aca="false">(C16-D16)*10000</f>
        <v>29.9999999999997</v>
      </c>
      <c r="F16" s="46" t="s">
        <v>114</v>
      </c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49" t="s">
        <v>117</v>
      </c>
      <c r="C18" s="49"/>
      <c r="D18" s="49"/>
      <c r="E18" s="50" t="n">
        <f aca="false">AVERAGE(E6:E16)</f>
        <v>32.090909090909</v>
      </c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3">
    <mergeCell ref="B2:H2"/>
    <mergeCell ref="B3:H3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2026-03-23T19:35:02Z</dcterms:created>
  <dc:creator>openpyxl</dc:creator>
  <dc:description/>
  <dc:language>en-US</dc:language>
  <cp:lastModifiedBy/>
  <dcterms:modified xsi:type="dcterms:W3CDTF">2026-03-23T19:35:44Z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
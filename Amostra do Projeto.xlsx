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3"/>
  <workbookPr/>
  <mc:AlternateContent xmlns:mc="http://schemas.openxmlformats.org/markup-compatibility/2006">
    <mc:Choice Requires="x15">
      <x15ac:absPath xmlns:x15ac="http://schemas.microsoft.com/office/spreadsheetml/2010/11/ac" url="C:\Users\muril\Documents\PANDAS\PROJETO DI\"/>
    </mc:Choice>
  </mc:AlternateContent>
  <xr:revisionPtr revIDLastSave="0" documentId="13_ncr:1_{1012DA44-BD4F-4B51-9588-BAA7D7425F56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Dashboard" sheetId="1" r:id="rId1"/>
    <sheet name="Aux" sheetId="2" state="hidden" r:id="rId2"/>
    <sheet name="Vértices" sheetId="3" r:id="rId3"/>
    <sheet name="Movimentos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E14" i="4" l="1"/>
  <c r="E13" i="4"/>
  <c r="E12" i="4"/>
  <c r="E11" i="4"/>
  <c r="E10" i="4"/>
  <c r="E9" i="4"/>
  <c r="E8" i="4"/>
  <c r="E7" i="4"/>
  <c r="E6" i="4"/>
  <c r="E38" i="1"/>
  <c r="E35" i="1"/>
  <c r="E33" i="1"/>
  <c r="E31" i="1"/>
  <c r="E30" i="1"/>
  <c r="E29" i="1"/>
  <c r="E28" i="1"/>
  <c r="E27" i="1"/>
  <c r="E26" i="1"/>
  <c r="E25" i="1"/>
  <c r="E24" i="1"/>
  <c r="E23" i="1"/>
  <c r="E22" i="1"/>
  <c r="E21" i="1"/>
  <c r="E20" i="1"/>
  <c r="E19" i="1"/>
  <c r="E18" i="1"/>
  <c r="E17" i="1"/>
  <c r="E16" i="1"/>
  <c r="E15" i="1"/>
  <c r="E14" i="1"/>
  <c r="E13" i="1"/>
  <c r="E12" i="1"/>
  <c r="E11" i="1"/>
  <c r="E10" i="1"/>
  <c r="I42" i="1"/>
  <c r="I43" i="1" s="1"/>
  <c r="E37" i="1"/>
  <c r="D37" i="1"/>
  <c r="H36" i="1"/>
  <c r="E36" i="1"/>
  <c r="D36" i="1"/>
  <c r="H37" i="1" s="1"/>
  <c r="H10" i="4" l="1"/>
  <c r="H9" i="4"/>
  <c r="E16" i="4"/>
  <c r="H6" i="4"/>
  <c r="B46" i="1"/>
  <c r="E46" i="1"/>
  <c r="H46" i="1"/>
  <c r="B49" i="1"/>
  <c r="H49" i="1" l="1"/>
  <c r="E49" i="1"/>
</calcChain>
</file>

<file path=xl/sharedStrings.xml><?xml version="1.0" encoding="utf-8"?>
<sst xmlns="http://schemas.openxmlformats.org/spreadsheetml/2006/main" count="247" uniqueCount="177">
  <si>
    <t>CURVA DE JUROS DI — ESTRUTURA A TERMO</t>
  </si>
  <si>
    <t>Interpolação Flat Forward 252 | Dados: ANBIMA (ETTJ Prefixada)</t>
  </si>
  <si>
    <t>DATA REFERÊNCIA</t>
  </si>
  <si>
    <t>TAXA CURTA (21 DU)</t>
  </si>
  <si>
    <t>TAXA LONGA (2520 DU)</t>
  </si>
  <si>
    <t>SPREAD / FORMATO</t>
  </si>
  <si>
    <t>Taxa curta &gt; Taxa longa</t>
  </si>
  <si>
    <t>DU</t>
  </si>
  <si>
    <t>CONSULTA DE TAXA INTERPOLADA</t>
  </si>
  <si>
    <t>Selecione o vencimento:</t>
  </si>
  <si>
    <t>Mar/2027 (252 DU)</t>
  </si>
  <si>
    <t>&lt;&lt; clique aqui</t>
  </si>
  <si>
    <t>Taxa interpolada:</t>
  </si>
  <si>
    <t>Taxa 30d atrás:</t>
  </si>
  <si>
    <t>Dias úteis:</t>
  </si>
  <si>
    <t>Variação (bps):</t>
  </si>
  <si>
    <t>PRECIFICAÇÃO DE TÍTULO PREFIXADO (LTN)</t>
  </si>
  <si>
    <t>Título:</t>
  </si>
  <si>
    <t>LTN Set/2027</t>
  </si>
  <si>
    <t>DU até vencimento:</t>
  </si>
  <si>
    <t>Valor de Face:</t>
  </si>
  <si>
    <t>Taxa da curva:</t>
  </si>
  <si>
    <t>PREÇO UNITÁRIO (PU)</t>
  </si>
  <si>
    <t>DURATION (ANOS)</t>
  </si>
  <si>
    <t>DV01 (R$)</t>
  </si>
  <si>
    <t>STRESS TEST: CURVA +50 BPS</t>
  </si>
  <si>
    <t>Impacto (R$)</t>
  </si>
  <si>
    <t>Impacto (%)</t>
  </si>
  <si>
    <t>* PU, Duration, DV01 e Stress Test calculados via fórmulas Excel. Altere o título no dropdown para recalcular automaticamente.</t>
  </si>
  <si>
    <t>Vencimento</t>
  </si>
  <si>
    <t>Mai/2026 (42 DU)</t>
  </si>
  <si>
    <t>LTN Jul/2026</t>
  </si>
  <si>
    <t>Jul/2026 (84 DU)</t>
  </si>
  <si>
    <t>LTN Set/2026</t>
  </si>
  <si>
    <t>Set/2026 (126 DU)</t>
  </si>
  <si>
    <t>LTN Nov/2026</t>
  </si>
  <si>
    <t>Nov/2026 (168 DU)</t>
  </si>
  <si>
    <t>LTN Jan/2027</t>
  </si>
  <si>
    <t>Jan/2027 (210 DU)</t>
  </si>
  <si>
    <t>LTN Mar/2027</t>
  </si>
  <si>
    <t>LTN Mai/2027</t>
  </si>
  <si>
    <t>Mai/2027 (294 DU)</t>
  </si>
  <si>
    <t>LTN Jul/2027</t>
  </si>
  <si>
    <t>Jul/2027 (336 DU)</t>
  </si>
  <si>
    <t>Set/2027 (378 DU)</t>
  </si>
  <si>
    <t>LTN Nov/2027</t>
  </si>
  <si>
    <t>Nov/2027 (420 DU)</t>
  </si>
  <si>
    <t>LTN Jan/2028</t>
  </si>
  <si>
    <t>Jan/2028 (462 DU)</t>
  </si>
  <si>
    <t>LTN Mar/2028</t>
  </si>
  <si>
    <t>Mar/2028 (504 DU)</t>
  </si>
  <si>
    <t>LTN Mai/2028</t>
  </si>
  <si>
    <t>Mai/2028 (546 DU)</t>
  </si>
  <si>
    <t>LTN Jul/2028</t>
  </si>
  <si>
    <t>Jul/2028 (588 DU)</t>
  </si>
  <si>
    <t>LTN Set/2028</t>
  </si>
  <si>
    <t>Set/2028 (630 DU)</t>
  </si>
  <si>
    <t>LTN Nov/2028</t>
  </si>
  <si>
    <t>Nov/2028 (672 DU)</t>
  </si>
  <si>
    <t>LTN Jan/2029</t>
  </si>
  <si>
    <t>Jan/2029 (714 DU)</t>
  </si>
  <si>
    <t>LTN Mar/2029</t>
  </si>
  <si>
    <t>Mar/2029 (756 DU)</t>
  </si>
  <si>
    <t>LTN Mai/2029</t>
  </si>
  <si>
    <t>Mai/2029 (798 DU)</t>
  </si>
  <si>
    <t>LTN Jul/2029</t>
  </si>
  <si>
    <t>Jul/2029 (840 DU)</t>
  </si>
  <si>
    <t>LTN Set/2029</t>
  </si>
  <si>
    <t>Set/2029 (882 DU)</t>
  </si>
  <si>
    <t>LTN Nov/2029</t>
  </si>
  <si>
    <t>Nov/2029 (924 DU)</t>
  </si>
  <si>
    <t>LTN Jan/2030</t>
  </si>
  <si>
    <t>Jan/2030 (966 DU)</t>
  </si>
  <si>
    <t>LTN Mar/2030</t>
  </si>
  <si>
    <t>Mar/2030 (1008 DU)</t>
  </si>
  <si>
    <t>LTN Mai/2030</t>
  </si>
  <si>
    <t>Mai/2030 (1050 DU)</t>
  </si>
  <si>
    <t>LTN Jul/2030</t>
  </si>
  <si>
    <t>Jul/2030 (1092 DU)</t>
  </si>
  <si>
    <t>LTN Set/2030</t>
  </si>
  <si>
    <t>Set/2030 (1134 DU)</t>
  </si>
  <si>
    <t>LTN Nov/2030</t>
  </si>
  <si>
    <t>Nov/2030 (1176 DU)</t>
  </si>
  <si>
    <t>LTN Jan/2031</t>
  </si>
  <si>
    <t>Jan/2031 (1218 DU)</t>
  </si>
  <si>
    <t>TABELA DE VÉRTICES — ETTJ PREFIXADA</t>
  </si>
  <si>
    <t>Vértice (DU)</t>
  </si>
  <si>
    <t>Tipo</t>
  </si>
  <si>
    <t>Original</t>
  </si>
  <si>
    <t>Interpolado</t>
  </si>
  <si>
    <t>ANÁLISE DE MOVIMENTOS — VARIAÇÃO EM BASIS POINTS</t>
  </si>
  <si>
    <t>Taxa Hoje (%)</t>
  </si>
  <si>
    <t>Taxa 30d (%)</t>
  </si>
  <si>
    <t>Variação (bps)</t>
  </si>
  <si>
    <t>Direção</t>
  </si>
  <si>
    <t>SHIFT PARALELO (MÉDIA)</t>
  </si>
  <si>
    <t>bps (média todos vértices)</t>
  </si>
  <si>
    <t>TIPO DE MOVIMENTO</t>
  </si>
  <si>
    <t>MÉDIA DA VARIAÇÃO</t>
  </si>
  <si>
    <t>Prazo (DU)</t>
  </si>
  <si>
    <t>Spot 25/03/2026</t>
  </si>
  <si>
    <t>Spot 09/02/2026</t>
  </si>
  <si>
    <t>Forward Mes a Mes</t>
  </si>
  <si>
    <t>LTN</t>
  </si>
  <si>
    <t>Abr/2026 (21 DU)</t>
  </si>
  <si>
    <t>Jun/2026 (63 DU)</t>
  </si>
  <si>
    <t>Ago/2026 (105 DU)</t>
  </si>
  <si>
    <t>Out/2026 (147 DU)</t>
  </si>
  <si>
    <t>Dez/2026 (189 DU)</t>
  </si>
  <si>
    <t>Fev/2027 (231 DU)</t>
  </si>
  <si>
    <t>Abr/2027 (273 DU)</t>
  </si>
  <si>
    <t>Jun/2027 (315 DU)</t>
  </si>
  <si>
    <t>Ago/2027 (357 DU)</t>
  </si>
  <si>
    <t>Out/2027 (399 DU)</t>
  </si>
  <si>
    <t>Dez/2027 (441 DU)</t>
  </si>
  <si>
    <t>Fev/2028 (483 DU)</t>
  </si>
  <si>
    <t>Abr/2028 (525 DU)</t>
  </si>
  <si>
    <t>Jun/2028 (567 DU)</t>
  </si>
  <si>
    <t>Ago/2028 (609 DU)</t>
  </si>
  <si>
    <t>Out/2028 (651 DU)</t>
  </si>
  <si>
    <t>Dez/2028 (693 DU)</t>
  </si>
  <si>
    <t>Fev/2029 (735 DU)</t>
  </si>
  <si>
    <t>Abr/2029 (777 DU)</t>
  </si>
  <si>
    <t>Jun/2029 (819 DU)</t>
  </si>
  <si>
    <t>Ago/2029 (861 DU)</t>
  </si>
  <si>
    <t>Out/2029 (903 DU)</t>
  </si>
  <si>
    <t>Dez/2029 (945 DU)</t>
  </si>
  <si>
    <t>Fev/2030 (987 DU)</t>
  </si>
  <si>
    <t>Abr/2030 (1029 DU)</t>
  </si>
  <si>
    <t>Jun/2030 (1071 DU)</t>
  </si>
  <si>
    <t>Ago/2030 (1113 DU)</t>
  </si>
  <si>
    <t>Out/2030 (1155 DU)</t>
  </si>
  <si>
    <t>Dez/2030 (1197 DU)</t>
  </si>
  <si>
    <t>LTN Mai/2026</t>
  </si>
  <si>
    <t>LTN Jun/2026</t>
  </si>
  <si>
    <t>LTN Ago/2026</t>
  </si>
  <si>
    <t>LTN Out/2026</t>
  </si>
  <si>
    <t>LTN Dez/2026</t>
  </si>
  <si>
    <t>LTN Fev/2027</t>
  </si>
  <si>
    <t>LTN Abr/2027</t>
  </si>
  <si>
    <t>LTN Jun/2027</t>
  </si>
  <si>
    <t>LTN Ago/2027</t>
  </si>
  <si>
    <t>LTN Out/2027</t>
  </si>
  <si>
    <t>LTN Dez/2027</t>
  </si>
  <si>
    <t>LTN Fev/2028</t>
  </si>
  <si>
    <t>LTN Abr/2028</t>
  </si>
  <si>
    <t>LTN Jun/2028</t>
  </si>
  <si>
    <t>LTN Ago/2028</t>
  </si>
  <si>
    <t>LTN Out/2028</t>
  </si>
  <si>
    <t>LTN Dez/2028</t>
  </si>
  <si>
    <t>LTN Fev/2029</t>
  </si>
  <si>
    <t>LTN Abr/2029</t>
  </si>
  <si>
    <t>LTN Jun/2029</t>
  </si>
  <si>
    <t>LTN Ago/2029</t>
  </si>
  <si>
    <t>LTN Out/2029</t>
  </si>
  <si>
    <t>LTN Dez/2029</t>
  </si>
  <si>
    <t>LTN Fev/2030</t>
  </si>
  <si>
    <t>LTN Abr/2030</t>
  </si>
  <si>
    <t>LTN Jun/2030</t>
  </si>
  <si>
    <t>LTN Ago/2030</t>
  </si>
  <si>
    <t>LTN Out/2030</t>
  </si>
  <si>
    <t>LTN Dez/2030</t>
  </si>
  <si>
    <t>25/03/2026</t>
  </si>
  <si>
    <t>14.64% a.a.</t>
  </si>
  <si>
    <t>14.00% a.a.</t>
  </si>
  <si>
    <t>-64 bps | Invertida</t>
  </si>
  <si>
    <t>Spot 25/03/2026 (hoje)</t>
  </si>
  <si>
    <t>Spot 09/02/2026 (30 DU atras)</t>
  </si>
  <si>
    <t>Data de referência: 25/03/2026 | Curva: PRE | Fonte: ANBIMA</t>
  </si>
  <si>
    <t>Spot 25/03/2026 (% a.a.)</t>
  </si>
  <si>
    <t>Forward Mes a Mes (% a.a.)</t>
  </si>
  <si>
    <t>Fator de Desconto</t>
  </si>
  <si>
    <t>Spot 09/02/2026 (% a.a.)</t>
  </si>
  <si>
    <t>O que é a coluna 'Spot 09/02/2026'?
Ela mostra a taxa de juros para cada prazo conforme publicada pela ANBIMA há 30 dias úteis (em 09/02/2026). Não é uma taxa nova, é a mesma curva de hoje, só que fotografada no passado. Compare com a coluna 'Spot hoje' para ver se os juros subiram ou caíram no período.</t>
  </si>
  <si>
    <t>Comparação: 25/03/2026 vs. 09/02/2026 (30 dias úteis)</t>
  </si>
  <si>
    <t>- Fechou</t>
  </si>
  <si>
    <t>+ Abriu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</si>
</sst>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\+0;\-0;0"/>
    <numFmt numFmtId="165" formatCode="&quot;R$ &quot;#,##0.00"/>
    <numFmt numFmtId="166" formatCode="&quot;R$ &quot;#,##0.0000"/>
    <numFmt numFmtId="167" formatCode="&quot;R$ &quot;#,##0.00;&quot;-R$ &quot;#,##0.00"/>
    <numFmt numFmtId="169" formatCode="0.000000"/>
    <numFmt numFmtId="170" formatCode="\+0.0;\-0.0;0"/>
    <numFmt numFmtId="171" formatCode="0.0000%"/>
  </numFmts>
  <fonts count="36" x14ac:knownFonts="1">
    <font>
      <sz val="11"/>
      <color theme="1"/>
      <name val="Calibri"/>
      <family val="2"/>
      <charset val="1"/>
    </font>
    <font>
      <b/>
      <sz val="18"/>
      <color rgb="FFFFFFFF"/>
      <name val="Arial"/>
      <charset val="1"/>
    </font>
    <font>
      <sz val="11"/>
      <color rgb="FF7A8BA8"/>
      <name val="Arial"/>
      <charset val="1"/>
    </font>
    <font>
      <sz val="9"/>
      <color rgb="FF7A8BA8"/>
      <name val="Arial"/>
      <charset val="1"/>
    </font>
    <font>
      <b/>
      <sz val="16"/>
      <color rgb="FFFFFFFF"/>
      <name val="Arial"/>
      <charset val="1"/>
    </font>
    <font>
      <b/>
      <sz val="16"/>
      <color rgb="FFE74C3C"/>
      <name val="Arial"/>
      <charset val="1"/>
    </font>
    <font>
      <sz val="8"/>
      <color rgb="FF7A8BA8"/>
      <name val="Arial"/>
      <charset val="1"/>
    </font>
    <font>
      <b/>
      <sz val="13"/>
      <color rgb="FF5BA3E6"/>
      <name val="Arial"/>
      <charset val="1"/>
    </font>
    <font>
      <sz val="10"/>
      <color rgb="FF7A8BA8"/>
      <name val="Arial"/>
      <charset val="1"/>
    </font>
    <font>
      <b/>
      <sz val="11"/>
      <color rgb="FF4A90D9"/>
      <name val="Arial"/>
      <charset val="1"/>
    </font>
    <font>
      <i/>
      <sz val="9"/>
      <color rgb="FF5BA3E6"/>
      <name val="Arial"/>
      <charset val="1"/>
    </font>
    <font>
      <b/>
      <sz val="12"/>
      <color rgb="FF2ECC71"/>
      <name val="Arial"/>
      <charset val="1"/>
    </font>
    <font>
      <b/>
      <sz val="12"/>
      <color rgb="FF95A5A6"/>
      <name val="Arial"/>
      <charset val="1"/>
    </font>
    <font>
      <sz val="10"/>
      <color rgb="FFFFFFFF"/>
      <name val="Arial"/>
      <charset val="1"/>
    </font>
    <font>
      <b/>
      <sz val="18"/>
      <color rgb="FF2ECC71"/>
      <name val="Arial"/>
      <charset val="1"/>
    </font>
    <font>
      <b/>
      <sz val="10"/>
      <color rgb="FFF39C12"/>
      <name val="Arial"/>
      <charset val="1"/>
    </font>
    <font>
      <b/>
      <sz val="14"/>
      <color rgb="FFE74C3C"/>
      <name val="Arial"/>
      <charset val="1"/>
    </font>
    <font>
      <b/>
      <sz val="10"/>
      <color rgb="FFFFFFFF"/>
      <name val="Arial"/>
      <charset val="1"/>
    </font>
    <font>
      <sz val="10"/>
      <color rgb="FFB8C5D9"/>
      <name val="Arial"/>
      <charset val="1"/>
    </font>
    <font>
      <b/>
      <sz val="11"/>
      <color rgb="FFE74C3C"/>
      <name val="Arial"/>
      <charset val="1"/>
    </font>
    <font>
      <b/>
      <sz val="10"/>
      <color rgb="FFE74C3C"/>
      <name val="Arial"/>
      <charset val="1"/>
    </font>
    <font>
      <b/>
      <sz val="16"/>
      <color rgb="FFF39C12"/>
      <name val="Arial"/>
      <charset val="1"/>
    </font>
    <font>
      <b/>
      <sz val="11"/>
      <color rgb="FFFFFFFF"/>
      <name val="Arial"/>
      <charset val="1"/>
    </font>
    <font>
      <sz val="11"/>
      <color rgb="FFB8C5D9"/>
      <name val="Calibri"/>
      <family val="2"/>
      <charset val="1"/>
    </font>
    <font>
      <sz val="9"/>
      <color rgb="FFB8C5D9"/>
      <name val="Calibri"/>
      <family val="2"/>
      <charset val="1"/>
    </font>
    <font>
      <sz val="10"/>
      <color rgb="FFFFFFFF"/>
      <name val="Arial"/>
      <family val="2"/>
    </font>
    <font>
      <sz val="11"/>
      <color rgb="FFFFFFFF"/>
      <name val="Calibri"/>
      <family val="2"/>
      <charset val="1"/>
    </font>
    <font>
      <sz val="10"/>
      <color rgb="FFB8C5D9"/>
      <name val="Arial"/>
      <family val="2"/>
    </font>
    <font>
      <sz val="10"/>
      <color rgb="FFF39C12"/>
      <name val="Arial"/>
      <family val="2"/>
    </font>
    <font>
      <sz val="11"/>
      <color rgb="FFF39C12"/>
      <name val="Calibri"/>
      <family val="2"/>
      <charset val="1"/>
    </font>
    <font>
      <sz val="10"/>
      <color rgb="FF7A8BA8"/>
      <name val="Arial"/>
      <family val="2"/>
    </font>
    <font>
      <sz val="11"/>
      <color rgb="FF7A8BA8"/>
      <name val="Calibri"/>
      <family val="2"/>
      <charset val="1"/>
    </font>
    <font>
      <sz val="10"/>
      <color rgb="FF2ECC71"/>
      <name val="Arial"/>
      <family val="2"/>
    </font>
    <font>
      <sz val="11"/>
      <color rgb="FF2ECC71"/>
      <name val="Calibri"/>
      <family val="2"/>
      <charset val="1"/>
    </font>
    <font>
      <b/>
      <sz val="11"/>
      <color rgb="FFFFFFFF"/>
      <name val="Arial"/>
      <family val="2"/>
    </font>
    <font>
      <b/>
      <sz val="10"/>
      <color rgb="FFFFFFFF"/>
      <name val="Arial"/>
      <family val="2"/>
    </font>
  </fonts>
  <fills count="12">
    <fill>
      <patternFill patternType="none"/>
    </fill>
    <fill>
      <patternFill patternType="gray125"/>
    </fill>
    <fill>
      <patternFill patternType="solid">
        <fgColor rgb="FF0F1B33"/>
        <bgColor rgb="FF162240"/>
      </patternFill>
    </fill>
    <fill>
      <patternFill patternType="solid">
        <fgColor rgb="FF1E2D4F"/>
        <bgColor rgb="FF243356"/>
      </patternFill>
    </fill>
    <fill>
      <patternFill patternType="solid">
        <fgColor rgb="FF243356"/>
        <bgColor rgb="FF1E2D4F"/>
      </patternFill>
    </fill>
    <fill>
      <patternFill patternType="solid">
        <fgColor rgb="FF162240"/>
        <bgColor rgb="FF0F1B33"/>
      </patternFill>
    </fill>
    <fill>
      <patternFill patternType="solid">
        <fgColor rgb="FF3A1A1A"/>
        <bgColor rgb="FF162240"/>
      </patternFill>
    </fill>
    <fill>
      <patternFill patternType="solid">
        <fgColor rgb="FF0F1B33"/>
        <bgColor indexed="64"/>
      </patternFill>
    </fill>
    <fill>
      <patternFill patternType="solid">
        <fgColor rgb="FF162240"/>
        <bgColor rgb="FF162240"/>
      </patternFill>
    </fill>
    <fill>
      <patternFill patternType="solid">
        <fgColor rgb="FF162240"/>
        <bgColor indexed="64"/>
      </patternFill>
    </fill>
    <fill>
      <patternFill patternType="solid">
        <fgColor rgb="FF2E75B6"/>
        <bgColor rgb="FF0F1B33"/>
      </patternFill>
    </fill>
    <fill>
      <patternFill patternType="solid">
        <fgColor rgb="FF2E75B6"/>
        <bgColor rgb="FF162240"/>
      </patternFill>
    </fill>
  </fills>
  <borders count="3">
    <border>
      <left/>
      <right/>
      <top/>
      <bottom/>
      <diagonal/>
    </border>
    <border>
      <left style="thin">
        <color rgb="FF2A3F6A"/>
      </left>
      <right style="thin">
        <color rgb="FF2A3F6A"/>
      </right>
      <top style="thin">
        <color rgb="FF2A3F6A"/>
      </top>
      <bottom style="thin">
        <color rgb="FF2A3F6A"/>
      </bottom>
      <diagonal/>
    </border>
    <border>
      <left style="thin">
        <color rgb="FF2A3F6A"/>
      </left>
      <right/>
      <top style="thin">
        <color rgb="FF2A3F6A"/>
      </top>
      <bottom style="thin">
        <color rgb="FF2A3F6A"/>
      </bottom>
      <diagonal/>
    </border>
  </borders>
  <cellStyleXfs count="1">
    <xf numFmtId="0" fontId="0" fillId="0" borderId="0"/>
  </cellStyleXfs>
  <cellXfs count="74">
    <xf numFmtId="0" fontId="0" fillId="0" borderId="0" xfId="0"/>
    <xf numFmtId="0" fontId="17" fillId="4" borderId="2" xfId="0" applyFont="1" applyFill="1" applyBorder="1"/>
    <xf numFmtId="0" fontId="2" fillId="2" borderId="0" xfId="0" applyFont="1" applyFill="1"/>
    <xf numFmtId="0" fontId="15" fillId="2" borderId="0" xfId="0" applyFont="1" applyFill="1"/>
    <xf numFmtId="0" fontId="9" fillId="3" borderId="2" xfId="0" applyFont="1" applyFill="1" applyBorder="1" applyAlignment="1">
      <alignment horizontal="center" vertical="center"/>
    </xf>
    <xf numFmtId="0" fontId="7" fillId="2" borderId="0" xfId="0" applyFont="1" applyFill="1" applyAlignment="1">
      <alignment horizontal="left" vertical="center"/>
    </xf>
    <xf numFmtId="2" fontId="9" fillId="3" borderId="2" xfId="0" applyNumberFormat="1" applyFont="1" applyFill="1" applyBorder="1" applyAlignment="1">
      <alignment horizontal="center" vertical="center"/>
    </xf>
    <xf numFmtId="0" fontId="7" fillId="2" borderId="0" xfId="0" applyFont="1" applyFill="1"/>
    <xf numFmtId="0" fontId="2" fillId="2" borderId="0" xfId="0" applyFont="1" applyFill="1" applyAlignment="1">
      <alignment horizontal="left" vertical="center"/>
    </xf>
    <xf numFmtId="0" fontId="1" fillId="2" borderId="0" xfId="0" applyFont="1" applyFill="1" applyAlignment="1">
      <alignment horizontal="left" vertical="center"/>
    </xf>
    <xf numFmtId="0" fontId="0" fillId="2" borderId="0" xfId="0" applyFill="1"/>
    <xf numFmtId="0" fontId="3" fillId="3" borderId="1" xfId="0" applyFont="1" applyFill="1" applyBorder="1" applyAlignment="1">
      <alignment horizontal="left" vertical="center"/>
    </xf>
    <xf numFmtId="0" fontId="0" fillId="3" borderId="1" xfId="0" applyFill="1" applyBorder="1"/>
    <xf numFmtId="0" fontId="4" fillId="3" borderId="1" xfId="0" applyFont="1" applyFill="1" applyBorder="1" applyAlignment="1">
      <alignment horizontal="left" vertical="center"/>
    </xf>
    <xf numFmtId="0" fontId="5" fillId="3" borderId="1" xfId="0" applyFont="1" applyFill="1" applyBorder="1" applyAlignment="1">
      <alignment horizontal="left" vertical="center"/>
    </xf>
    <xf numFmtId="0" fontId="6" fillId="3" borderId="1" xfId="0" applyFont="1" applyFill="1" applyBorder="1"/>
    <xf numFmtId="0" fontId="6" fillId="2" borderId="0" xfId="0" applyFont="1" applyFill="1"/>
    <xf numFmtId="2" fontId="6" fillId="2" borderId="0" xfId="0" applyNumberFormat="1" applyFont="1" applyFill="1"/>
    <xf numFmtId="0" fontId="8" fillId="2" borderId="0" xfId="0" applyFont="1" applyFill="1"/>
    <xf numFmtId="0" fontId="10" fillId="2" borderId="0" xfId="0" applyFont="1" applyFill="1" applyAlignment="1">
      <alignment horizontal="left" vertical="center"/>
    </xf>
    <xf numFmtId="10" fontId="11" fillId="3" borderId="1" xfId="0" applyNumberFormat="1" applyFont="1" applyFill="1" applyBorder="1" applyAlignment="1">
      <alignment horizontal="center" vertical="center"/>
    </xf>
    <xf numFmtId="10" fontId="12" fillId="3" borderId="1" xfId="0" applyNumberFormat="1" applyFont="1" applyFill="1" applyBorder="1" applyAlignment="1">
      <alignment horizontal="center" vertical="center"/>
    </xf>
    <xf numFmtId="2" fontId="13" fillId="3" borderId="1" xfId="0" applyNumberFormat="1" applyFont="1" applyFill="1" applyBorder="1" applyAlignment="1">
      <alignment horizontal="center" vertical="center"/>
    </xf>
    <xf numFmtId="164" fontId="13" fillId="3" borderId="1" xfId="0" applyNumberFormat="1" applyFont="1" applyFill="1" applyBorder="1" applyAlignment="1">
      <alignment horizontal="center" vertical="center"/>
    </xf>
    <xf numFmtId="0" fontId="13" fillId="3" borderId="1" xfId="0" applyFont="1" applyFill="1" applyBorder="1" applyAlignment="1">
      <alignment horizontal="center" vertical="center"/>
    </xf>
    <xf numFmtId="165" fontId="13" fillId="3" borderId="1" xfId="0" applyNumberFormat="1" applyFont="1" applyFill="1" applyBorder="1" applyAlignment="1">
      <alignment horizontal="center" vertical="center"/>
    </xf>
    <xf numFmtId="10" fontId="9" fillId="3" borderId="1" xfId="0" applyNumberFormat="1" applyFont="1" applyFill="1" applyBorder="1" applyAlignment="1">
      <alignment horizontal="center" vertical="center"/>
    </xf>
    <xf numFmtId="0" fontId="3" fillId="3" borderId="1" xfId="0" applyFont="1" applyFill="1" applyBorder="1"/>
    <xf numFmtId="165" fontId="14" fillId="3" borderId="1" xfId="0" applyNumberFormat="1" applyFont="1" applyFill="1" applyBorder="1" applyAlignment="1">
      <alignment horizontal="left" vertical="center"/>
    </xf>
    <xf numFmtId="2" fontId="4" fillId="3" borderId="1" xfId="0" applyNumberFormat="1" applyFont="1" applyFill="1" applyBorder="1" applyAlignment="1">
      <alignment horizontal="left" vertical="center"/>
    </xf>
    <xf numFmtId="166" fontId="4" fillId="3" borderId="1" xfId="0" applyNumberFormat="1" applyFont="1" applyFill="1" applyBorder="1" applyAlignment="1">
      <alignment horizontal="left" vertical="center"/>
    </xf>
    <xf numFmtId="0" fontId="3" fillId="2" borderId="0" xfId="0" applyFont="1" applyFill="1"/>
    <xf numFmtId="165" fontId="16" fillId="3" borderId="1" xfId="0" applyNumberFormat="1" applyFont="1" applyFill="1" applyBorder="1"/>
    <xf numFmtId="167" fontId="16" fillId="3" borderId="1" xfId="0" applyNumberFormat="1" applyFont="1" applyFill="1" applyBorder="1"/>
    <xf numFmtId="10" fontId="16" fillId="3" borderId="1" xfId="0" applyNumberFormat="1" applyFont="1" applyFill="1" applyBorder="1"/>
    <xf numFmtId="10" fontId="0" fillId="0" borderId="0" xfId="0" applyNumberFormat="1"/>
    <xf numFmtId="0" fontId="17" fillId="4" borderId="1" xfId="0" applyFont="1" applyFill="1" applyBorder="1" applyAlignment="1">
      <alignment horizontal="center" vertical="center"/>
    </xf>
    <xf numFmtId="0" fontId="13" fillId="5" borderId="1" xfId="0" applyFont="1" applyFill="1" applyBorder="1" applyAlignment="1">
      <alignment horizontal="center" vertical="center"/>
    </xf>
    <xf numFmtId="10" fontId="13" fillId="5" borderId="1" xfId="0" applyNumberFormat="1" applyFont="1" applyFill="1" applyBorder="1" applyAlignment="1">
      <alignment horizontal="center" vertical="center"/>
    </xf>
    <xf numFmtId="10" fontId="18" fillId="5" borderId="1" xfId="0" applyNumberFormat="1" applyFont="1" applyFill="1" applyBorder="1" applyAlignment="1">
      <alignment horizontal="center" vertical="center"/>
    </xf>
    <xf numFmtId="164" fontId="19" fillId="6" borderId="1" xfId="0" applyNumberFormat="1" applyFont="1" applyFill="1" applyBorder="1" applyAlignment="1">
      <alignment horizontal="center" vertical="center"/>
    </xf>
    <xf numFmtId="0" fontId="20" fillId="5" borderId="1" xfId="0" applyFont="1" applyFill="1" applyBorder="1" applyAlignment="1">
      <alignment horizontal="center" vertical="center"/>
    </xf>
    <xf numFmtId="170" fontId="4" fillId="3" borderId="1" xfId="0" applyNumberFormat="1" applyFont="1" applyFill="1" applyBorder="1"/>
    <xf numFmtId="0" fontId="21" fillId="3" borderId="1" xfId="0" applyFont="1" applyFill="1" applyBorder="1"/>
    <xf numFmtId="170" fontId="22" fillId="4" borderId="1" xfId="0" applyNumberFormat="1" applyFont="1" applyFill="1" applyBorder="1" applyAlignment="1">
      <alignment horizontal="center" vertical="center"/>
    </xf>
    <xf numFmtId="0" fontId="0" fillId="7" borderId="0" xfId="0" applyFill="1"/>
    <xf numFmtId="0" fontId="24" fillId="2" borderId="0" xfId="0" applyFont="1" applyFill="1" applyAlignment="1">
      <alignment wrapText="1"/>
    </xf>
    <xf numFmtId="0" fontId="25" fillId="5" borderId="1" xfId="0" applyFont="1" applyFill="1" applyBorder="1" applyAlignment="1">
      <alignment horizontal="center" vertical="center"/>
    </xf>
    <xf numFmtId="0" fontId="26" fillId="8" borderId="1" xfId="0" applyFont="1" applyFill="1" applyBorder="1" applyAlignment="1">
      <alignment horizontal="center"/>
    </xf>
    <xf numFmtId="0" fontId="26" fillId="9" borderId="1" xfId="0" applyFont="1" applyFill="1" applyBorder="1" applyAlignment="1">
      <alignment horizontal="center"/>
    </xf>
    <xf numFmtId="171" fontId="27" fillId="5" borderId="1" xfId="0" applyNumberFormat="1" applyFont="1" applyFill="1" applyBorder="1" applyAlignment="1">
      <alignment horizontal="center" vertical="center"/>
    </xf>
    <xf numFmtId="171" fontId="23" fillId="8" borderId="1" xfId="0" applyNumberFormat="1" applyFont="1" applyFill="1" applyBorder="1" applyAlignment="1">
      <alignment horizontal="center"/>
    </xf>
    <xf numFmtId="171" fontId="23" fillId="9" borderId="1" xfId="0" applyNumberFormat="1" applyFont="1" applyFill="1" applyBorder="1" applyAlignment="1">
      <alignment horizontal="center"/>
    </xf>
    <xf numFmtId="171" fontId="28" fillId="5" borderId="1" xfId="0" applyNumberFormat="1" applyFont="1" applyFill="1" applyBorder="1" applyAlignment="1">
      <alignment horizontal="center" vertical="center"/>
    </xf>
    <xf numFmtId="171" fontId="29" fillId="8" borderId="1" xfId="0" applyNumberFormat="1" applyFont="1" applyFill="1" applyBorder="1" applyAlignment="1">
      <alignment horizontal="center"/>
    </xf>
    <xf numFmtId="171" fontId="29" fillId="9" borderId="1" xfId="0" applyNumberFormat="1" applyFont="1" applyFill="1" applyBorder="1" applyAlignment="1">
      <alignment horizontal="center"/>
    </xf>
    <xf numFmtId="169" fontId="27" fillId="5" borderId="1" xfId="0" applyNumberFormat="1" applyFont="1" applyFill="1" applyBorder="1" applyAlignment="1">
      <alignment horizontal="center" vertical="center"/>
    </xf>
    <xf numFmtId="169" fontId="23" fillId="8" borderId="1" xfId="0" applyNumberFormat="1" applyFont="1" applyFill="1" applyBorder="1" applyAlignment="1">
      <alignment horizontal="center"/>
    </xf>
    <xf numFmtId="169" fontId="23" fillId="9" borderId="1" xfId="0" applyNumberFormat="1" applyFont="1" applyFill="1" applyBorder="1" applyAlignment="1">
      <alignment horizontal="center"/>
    </xf>
    <xf numFmtId="0" fontId="30" fillId="5" borderId="1" xfId="0" applyFont="1" applyFill="1" applyBorder="1" applyAlignment="1">
      <alignment horizontal="center" vertical="center"/>
    </xf>
    <xf numFmtId="0" fontId="31" fillId="8" borderId="1" xfId="0" applyFont="1" applyFill="1" applyBorder="1" applyAlignment="1">
      <alignment horizontal="center"/>
    </xf>
    <xf numFmtId="0" fontId="31" fillId="9" borderId="1" xfId="0" applyFont="1" applyFill="1" applyBorder="1" applyAlignment="1">
      <alignment horizontal="center"/>
    </xf>
    <xf numFmtId="171" fontId="25" fillId="5" borderId="1" xfId="0" applyNumberFormat="1" applyFont="1" applyFill="1" applyBorder="1" applyAlignment="1">
      <alignment horizontal="center" vertical="center"/>
    </xf>
    <xf numFmtId="0" fontId="32" fillId="5" borderId="1" xfId="0" applyFont="1" applyFill="1" applyBorder="1" applyAlignment="1">
      <alignment horizontal="center" vertical="center"/>
    </xf>
    <xf numFmtId="171" fontId="26" fillId="8" borderId="1" xfId="0" applyNumberFormat="1" applyFont="1" applyFill="1" applyBorder="1" applyAlignment="1">
      <alignment horizontal="center"/>
    </xf>
    <xf numFmtId="0" fontId="33" fillId="8" borderId="1" xfId="0" applyFont="1" applyFill="1" applyBorder="1" applyAlignment="1">
      <alignment horizontal="center"/>
    </xf>
    <xf numFmtId="171" fontId="26" fillId="9" borderId="1" xfId="0" applyNumberFormat="1" applyFont="1" applyFill="1" applyBorder="1" applyAlignment="1">
      <alignment horizontal="center"/>
    </xf>
    <xf numFmtId="0" fontId="33" fillId="9" borderId="1" xfId="0" applyFont="1" applyFill="1" applyBorder="1" applyAlignment="1">
      <alignment horizontal="center"/>
    </xf>
    <xf numFmtId="10" fontId="25" fillId="5" borderId="1" xfId="0" applyNumberFormat="1" applyFont="1" applyFill="1" applyBorder="1" applyAlignment="1">
      <alignment horizontal="center" vertical="center"/>
    </xf>
    <xf numFmtId="164" fontId="34" fillId="8" borderId="1" xfId="0" applyNumberFormat="1" applyFont="1" applyFill="1" applyBorder="1" applyAlignment="1">
      <alignment horizontal="center" vertical="center"/>
    </xf>
    <xf numFmtId="0" fontId="35" fillId="5" borderId="1" xfId="0" applyFont="1" applyFill="1" applyBorder="1" applyAlignment="1">
      <alignment horizontal="center" vertical="center"/>
    </xf>
    <xf numFmtId="170" fontId="34" fillId="11" borderId="1" xfId="0" applyNumberFormat="1" applyFont="1" applyFill="1" applyBorder="1" applyAlignment="1">
      <alignment horizontal="center" vertical="center"/>
    </xf>
    <xf numFmtId="0" fontId="35" fillId="10" borderId="1" xfId="0" applyFont="1" applyFill="1" applyBorder="1" applyAlignment="1">
      <alignment horizontal="center" vertical="center"/>
    </xf>
    <xf numFmtId="10" fontId="35" fillId="10" borderId="1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2">
    <dxf>
      <fill>
        <patternFill>
          <bgColor rgb="FF4E1F1F"/>
        </patternFill>
      </fill>
    </dxf>
    <dxf>
      <fill>
        <patternFill>
          <bgColor rgb="FF1F4E2C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162240"/>
      <rgbColor rgb="FF808000"/>
      <rgbColor rgb="FF800080"/>
      <rgbColor rgb="FF008080"/>
      <rgbColor rgb="FFB8C5D9"/>
      <rgbColor rgb="FF878787"/>
      <rgbColor rgb="FF7A8BA8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5BA3E6"/>
      <rgbColor rgb="FFFF99CC"/>
      <rgbColor rgb="FFCC99FF"/>
      <rgbColor rgb="FFFFCC99"/>
      <rgbColor rgb="FF4A90D9"/>
      <rgbColor rgb="FF2ECC71"/>
      <rgbColor rgb="FF99CC00"/>
      <rgbColor rgb="FFFFCC00"/>
      <rgbColor rgb="FFF39C12"/>
      <rgbColor rgb="FFE74C3C"/>
      <rgbColor rgb="FF3A5BA0"/>
      <rgbColor rgb="FF95A5A6"/>
      <rgbColor rgb="FF1E2D4F"/>
      <rgbColor rgb="FF339966"/>
      <rgbColor rgb="FF0F1B33"/>
      <rgbColor rgb="FF3A1A1A"/>
      <rgbColor rgb="FF993300"/>
      <rgbColor rgb="FF993366"/>
      <rgbColor rgb="FF2A3F6A"/>
      <rgbColor rgb="FF24335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c:style val="2"/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Dashboard!$C$9</c:f>
              <c:strCache>
                <c:ptCount val="1"/>
                <c:pt idx="0">
                  <c:v>Spot 25/03/2026 (hoje)</c:v>
                </c:pt>
              </c:strCache>
            </c:strRef>
          </c:tx>
          <c:spPr>
            <a:ln w="28080">
              <a:solidFill>
                <a:srgbClr val="4A90D9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pt-BR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(Dashboard!$B$10:$B$31,Dashboard!$B$33,Dashboard!$B$35,Dashboard!$B$38)</c:f>
              <c:numCache>
                <c:formatCode>General</c:formatCode>
                <c:ptCount val="25"/>
                <c:pt idx="0">
                  <c:v>42</c:v>
                </c:pt>
                <c:pt idx="1">
                  <c:v>84</c:v>
                </c:pt>
                <c:pt idx="2">
                  <c:v>126</c:v>
                </c:pt>
                <c:pt idx="3">
                  <c:v>168</c:v>
                </c:pt>
                <c:pt idx="4">
                  <c:v>210</c:v>
                </c:pt>
                <c:pt idx="5">
                  <c:v>252</c:v>
                </c:pt>
                <c:pt idx="6">
                  <c:v>294</c:v>
                </c:pt>
                <c:pt idx="7">
                  <c:v>336</c:v>
                </c:pt>
                <c:pt idx="8">
                  <c:v>378</c:v>
                </c:pt>
                <c:pt idx="9">
                  <c:v>420</c:v>
                </c:pt>
                <c:pt idx="10">
                  <c:v>462</c:v>
                </c:pt>
                <c:pt idx="11">
                  <c:v>504</c:v>
                </c:pt>
                <c:pt idx="12">
                  <c:v>546</c:v>
                </c:pt>
                <c:pt idx="13">
                  <c:v>588</c:v>
                </c:pt>
                <c:pt idx="14">
                  <c:v>630</c:v>
                </c:pt>
                <c:pt idx="15">
                  <c:v>672</c:v>
                </c:pt>
                <c:pt idx="16">
                  <c:v>714</c:v>
                </c:pt>
                <c:pt idx="17">
                  <c:v>756</c:v>
                </c:pt>
                <c:pt idx="18">
                  <c:v>798</c:v>
                </c:pt>
                <c:pt idx="19">
                  <c:v>840</c:v>
                </c:pt>
                <c:pt idx="20">
                  <c:v>882</c:v>
                </c:pt>
                <c:pt idx="21">
                  <c:v>924</c:v>
                </c:pt>
                <c:pt idx="22">
                  <c:v>1008</c:v>
                </c:pt>
                <c:pt idx="23">
                  <c:v>1092</c:v>
                </c:pt>
                <c:pt idx="24">
                  <c:v>1218</c:v>
                </c:pt>
              </c:numCache>
            </c:numRef>
          </c:cat>
          <c:val>
            <c:numRef>
              <c:f>(Dashboard!$C$10:$C$31,Dashboard!$C$33,Dashboard!$C$35,Dashboard!$C$38)</c:f>
              <c:numCache>
                <c:formatCode>0.00</c:formatCode>
                <c:ptCount val="25"/>
                <c:pt idx="0">
                  <c:v>14.549999999999997</c:v>
                </c:pt>
                <c:pt idx="1">
                  <c:v>14.420000000000011</c:v>
                </c:pt>
                <c:pt idx="2">
                  <c:v>14.31</c:v>
                </c:pt>
                <c:pt idx="3">
                  <c:v>14.219988184840759</c:v>
                </c:pt>
                <c:pt idx="4">
                  <c:v>14.157993271853142</c:v>
                </c:pt>
                <c:pt idx="5">
                  <c:v>14.11</c:v>
                </c:pt>
                <c:pt idx="6">
                  <c:v>14.049978954135579</c:v>
                </c:pt>
                <c:pt idx="7">
                  <c:v>14.004983888879273</c:v>
                </c:pt>
                <c:pt idx="8">
                  <c:v>13.969999999999994</c:v>
                </c:pt>
                <c:pt idx="9">
                  <c:v>13.929989465983406</c:v>
                </c:pt>
                <c:pt idx="10">
                  <c:v>13.89726402230751</c:v>
                </c:pt>
                <c:pt idx="11">
                  <c:v>13.870000000000005</c:v>
                </c:pt>
                <c:pt idx="12">
                  <c:v>13.870000000000005</c:v>
                </c:pt>
                <c:pt idx="13">
                  <c:v>13.870000000000005</c:v>
                </c:pt>
                <c:pt idx="14">
                  <c:v>13.870000000000005</c:v>
                </c:pt>
                <c:pt idx="15">
                  <c:v>13.881249073911462</c:v>
                </c:pt>
                <c:pt idx="16">
                  <c:v>13.891175650222998</c:v>
                </c:pt>
                <c:pt idx="17">
                  <c:v>13.900000000000002</c:v>
                </c:pt>
                <c:pt idx="18">
                  <c:v>13.911051712402966</c:v>
                </c:pt>
                <c:pt idx="19">
                  <c:v>13.920999170419513</c:v>
                </c:pt>
                <c:pt idx="20">
                  <c:v>13.929999999999998</c:v>
                </c:pt>
                <c:pt idx="21">
                  <c:v>13.937272321088567</c:v>
                </c:pt>
                <c:pt idx="22">
                  <c:v>13.949999999999996</c:v>
                </c:pt>
                <c:pt idx="23">
                  <c:v>13.970768389637245</c:v>
                </c:pt>
                <c:pt idx="24">
                  <c:v>14.000688810262417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C996-4D3D-9663-6512C340A441}"/>
            </c:ext>
          </c:extLst>
        </c:ser>
        <c:ser>
          <c:idx val="1"/>
          <c:order val="1"/>
          <c:tx>
            <c:strRef>
              <c:f>Dashboard!$D$9</c:f>
              <c:strCache>
                <c:ptCount val="1"/>
                <c:pt idx="0">
                  <c:v>Spot 09/02/2026 (30 DU atras)</c:v>
                </c:pt>
              </c:strCache>
            </c:strRef>
          </c:tx>
          <c:spPr>
            <a:ln w="18000">
              <a:solidFill>
                <a:srgbClr val="95A5A6"/>
              </a:solidFill>
              <a:prstDash val="dash"/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pt-BR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(Dashboard!$B$10:$B$31,Dashboard!$B$33,Dashboard!$B$35,Dashboard!$B$38)</c:f>
              <c:numCache>
                <c:formatCode>General</c:formatCode>
                <c:ptCount val="25"/>
                <c:pt idx="0">
                  <c:v>42</c:v>
                </c:pt>
                <c:pt idx="1">
                  <c:v>84</c:v>
                </c:pt>
                <c:pt idx="2">
                  <c:v>126</c:v>
                </c:pt>
                <c:pt idx="3">
                  <c:v>168</c:v>
                </c:pt>
                <c:pt idx="4">
                  <c:v>210</c:v>
                </c:pt>
                <c:pt idx="5">
                  <c:v>252</c:v>
                </c:pt>
                <c:pt idx="6">
                  <c:v>294</c:v>
                </c:pt>
                <c:pt idx="7">
                  <c:v>336</c:v>
                </c:pt>
                <c:pt idx="8">
                  <c:v>378</c:v>
                </c:pt>
                <c:pt idx="9">
                  <c:v>420</c:v>
                </c:pt>
                <c:pt idx="10">
                  <c:v>462</c:v>
                </c:pt>
                <c:pt idx="11">
                  <c:v>504</c:v>
                </c:pt>
                <c:pt idx="12">
                  <c:v>546</c:v>
                </c:pt>
                <c:pt idx="13">
                  <c:v>588</c:v>
                </c:pt>
                <c:pt idx="14">
                  <c:v>630</c:v>
                </c:pt>
                <c:pt idx="15">
                  <c:v>672</c:v>
                </c:pt>
                <c:pt idx="16">
                  <c:v>714</c:v>
                </c:pt>
                <c:pt idx="17">
                  <c:v>756</c:v>
                </c:pt>
                <c:pt idx="18">
                  <c:v>798</c:v>
                </c:pt>
                <c:pt idx="19">
                  <c:v>840</c:v>
                </c:pt>
                <c:pt idx="20">
                  <c:v>882</c:v>
                </c:pt>
                <c:pt idx="21">
                  <c:v>924</c:v>
                </c:pt>
                <c:pt idx="22">
                  <c:v>1008</c:v>
                </c:pt>
                <c:pt idx="23">
                  <c:v>1092</c:v>
                </c:pt>
                <c:pt idx="24">
                  <c:v>1218</c:v>
                </c:pt>
              </c:numCache>
            </c:numRef>
          </c:cat>
          <c:val>
            <c:numRef>
              <c:f>(Dashboard!$D$10:$D$31,Dashboard!$D$33,Dashboard!$D$35,Dashboard!$D$38)</c:f>
              <c:numCache>
                <c:formatCode>0.00</c:formatCode>
                <c:ptCount val="25"/>
                <c:pt idx="0">
                  <c:v>14.739999999999998</c:v>
                </c:pt>
                <c:pt idx="1">
                  <c:v>14.400000000000013</c:v>
                </c:pt>
                <c:pt idx="2">
                  <c:v>14.070000000000027</c:v>
                </c:pt>
                <c:pt idx="3">
                  <c:v>13.702302316465964</c:v>
                </c:pt>
                <c:pt idx="4">
                  <c:v>13.427847165111405</c:v>
                </c:pt>
                <c:pt idx="5">
                  <c:v>13.200000000000012</c:v>
                </c:pt>
                <c:pt idx="6">
                  <c:v>13.019808815554846</c:v>
                </c:pt>
                <c:pt idx="7">
                  <c:v>12.884853682690721</c:v>
                </c:pt>
                <c:pt idx="8">
                  <c:v>12.77999999999999</c:v>
                </c:pt>
                <c:pt idx="9">
                  <c:v>12.7199760425883</c:v>
                </c:pt>
                <c:pt idx="10">
                  <c:v>12.67088929426976</c:v>
                </c:pt>
                <c:pt idx="11">
                  <c:v>12.630000000000008</c:v>
                </c:pt>
                <c:pt idx="12">
                  <c:v>12.637691887442347</c:v>
                </c:pt>
                <c:pt idx="13">
                  <c:v>12.644285351920281</c:v>
                </c:pt>
                <c:pt idx="14">
                  <c:v>12.650000000000006</c:v>
                </c:pt>
                <c:pt idx="15">
                  <c:v>12.679993344770256</c:v>
                </c:pt>
                <c:pt idx="16">
                  <c:v>12.706464692483666</c:v>
                </c:pt>
                <c:pt idx="17">
                  <c:v>12.729999999999997</c:v>
                </c:pt>
                <c:pt idx="18">
                  <c:v>12.770513834554386</c:v>
                </c:pt>
                <c:pt idx="19">
                  <c:v>12.806988734470991</c:v>
                </c:pt>
                <c:pt idx="20">
                  <c:v>12.840000000000007</c:v>
                </c:pt>
                <c:pt idx="21">
                  <c:v>12.87998759964497</c:v>
                </c:pt>
                <c:pt idx="22">
                  <c:v>12.949999999999996</c:v>
                </c:pt>
                <c:pt idx="23">
                  <c:v>13.012300056872682</c:v>
                </c:pt>
                <c:pt idx="24">
                  <c:v>13.102061299877633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C996-4D3D-9663-6512C340A441}"/>
            </c:ext>
          </c:extLst>
        </c:ser>
        <c:ser>
          <c:idx val="2"/>
          <c:order val="2"/>
          <c:tx>
            <c:strRef>
              <c:f>Dashboard!$E$9</c:f>
              <c:strCache>
                <c:ptCount val="1"/>
                <c:pt idx="0">
                  <c:v>Forward Mes a Mes</c:v>
                </c:pt>
              </c:strCache>
            </c:strRef>
          </c:tx>
          <c:spPr>
            <a:ln w="15840">
              <a:solidFill>
                <a:srgbClr val="F39C12"/>
              </a:solidFill>
              <a:prstDash val="sysDot"/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pt-BR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(Dashboard!$B$10:$B$31,Dashboard!$B$33,Dashboard!$B$35,Dashboard!$B$38)</c:f>
              <c:numCache>
                <c:formatCode>General</c:formatCode>
                <c:ptCount val="25"/>
                <c:pt idx="0">
                  <c:v>42</c:v>
                </c:pt>
                <c:pt idx="1">
                  <c:v>84</c:v>
                </c:pt>
                <c:pt idx="2">
                  <c:v>126</c:v>
                </c:pt>
                <c:pt idx="3">
                  <c:v>168</c:v>
                </c:pt>
                <c:pt idx="4">
                  <c:v>210</c:v>
                </c:pt>
                <c:pt idx="5">
                  <c:v>252</c:v>
                </c:pt>
                <c:pt idx="6">
                  <c:v>294</c:v>
                </c:pt>
                <c:pt idx="7">
                  <c:v>336</c:v>
                </c:pt>
                <c:pt idx="8">
                  <c:v>378</c:v>
                </c:pt>
                <c:pt idx="9">
                  <c:v>420</c:v>
                </c:pt>
                <c:pt idx="10">
                  <c:v>462</c:v>
                </c:pt>
                <c:pt idx="11">
                  <c:v>504</c:v>
                </c:pt>
                <c:pt idx="12">
                  <c:v>546</c:v>
                </c:pt>
                <c:pt idx="13">
                  <c:v>588</c:v>
                </c:pt>
                <c:pt idx="14">
                  <c:v>630</c:v>
                </c:pt>
                <c:pt idx="15">
                  <c:v>672</c:v>
                </c:pt>
                <c:pt idx="16">
                  <c:v>714</c:v>
                </c:pt>
                <c:pt idx="17">
                  <c:v>756</c:v>
                </c:pt>
                <c:pt idx="18">
                  <c:v>798</c:v>
                </c:pt>
                <c:pt idx="19">
                  <c:v>840</c:v>
                </c:pt>
                <c:pt idx="20">
                  <c:v>882</c:v>
                </c:pt>
                <c:pt idx="21">
                  <c:v>924</c:v>
                </c:pt>
                <c:pt idx="22">
                  <c:v>1008</c:v>
                </c:pt>
                <c:pt idx="23">
                  <c:v>1092</c:v>
                </c:pt>
                <c:pt idx="24">
                  <c:v>1218</c:v>
                </c:pt>
              </c:numCache>
            </c:numRef>
          </c:cat>
          <c:val>
            <c:numRef>
              <c:f>(Dashboard!$E$10:$E$31,Dashboard!$E$33,Dashboard!$E$35,Dashboard!$E$38)</c:f>
              <c:numCache>
                <c:formatCode>0.00</c:formatCode>
                <c:ptCount val="25"/>
                <c:pt idx="0">
                  <c:v>14.460070655966195</c:v>
                </c:pt>
                <c:pt idx="1">
                  <c:v>14.240188613328208</c:v>
                </c:pt>
                <c:pt idx="2">
                  <c:v>14.090317150563081</c:v>
                </c:pt>
                <c:pt idx="3">
                  <c:v>13.950377787448009</c:v>
                </c:pt>
                <c:pt idx="4">
                  <c:v>13.870336124600534</c:v>
                </c:pt>
                <c:pt idx="5">
                  <c:v>13.870336124600247</c:v>
                </c:pt>
                <c:pt idx="6">
                  <c:v>13.690515081526588</c:v>
                </c:pt>
                <c:pt idx="7">
                  <c:v>13.6905150815263</c:v>
                </c:pt>
                <c:pt idx="8">
                  <c:v>13.690515081526588</c:v>
                </c:pt>
                <c:pt idx="9">
                  <c:v>13.570526146448891</c:v>
                </c:pt>
                <c:pt idx="10">
                  <c:v>13.570526146448291</c:v>
                </c:pt>
                <c:pt idx="11">
                  <c:v>13.570526146448604</c:v>
                </c:pt>
                <c:pt idx="12">
                  <c:v>13.869999999999916</c:v>
                </c:pt>
                <c:pt idx="13">
                  <c:v>13.869999999999916</c:v>
                </c:pt>
                <c:pt idx="14">
                  <c:v>13.870000000000227</c:v>
                </c:pt>
                <c:pt idx="15">
                  <c:v>14.050118597902618</c:v>
                </c:pt>
                <c:pt idx="16">
                  <c:v>14.050118597902905</c:v>
                </c:pt>
                <c:pt idx="17">
                  <c:v>14.050118597902905</c:v>
                </c:pt>
                <c:pt idx="18">
                  <c:v>14.110166007892788</c:v>
                </c:pt>
                <c:pt idx="19">
                  <c:v>14.11016600789219</c:v>
                </c:pt>
                <c:pt idx="20">
                  <c:v>14.110166007892499</c:v>
                </c:pt>
                <c:pt idx="21">
                  <c:v>14.090098340499434</c:v>
                </c:pt>
                <c:pt idx="22">
                  <c:v>14.090098340499146</c:v>
                </c:pt>
                <c:pt idx="23">
                  <c:v>14.220284509972236</c:v>
                </c:pt>
                <c:pt idx="24">
                  <c:v>14.280355575005954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C996-4D3D-9663-6512C340A44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smooth val="0"/>
        <c:axId val="32148729"/>
        <c:axId val="41581908"/>
      </c:lineChart>
      <c:catAx>
        <c:axId val="32148729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sz="1000" b="1" strike="noStrike" spc="-1">
                    <a:solidFill>
                      <a:srgbClr val="000000"/>
                    </a:solidFill>
                    <a:latin typeface="Calibri"/>
                  </a:rPr>
                  <a:t>Dias Úteis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pt-BR"/>
          </a:p>
        </c:txPr>
        <c:crossAx val="41581908"/>
        <c:crosses val="autoZero"/>
        <c:auto val="1"/>
        <c:lblAlgn val="ctr"/>
        <c:lblOffset val="100"/>
        <c:noMultiLvlLbl val="0"/>
      </c:catAx>
      <c:valAx>
        <c:axId val="41581908"/>
        <c:scaling>
          <c:orientation val="minMax"/>
          <c:max val="16"/>
          <c:min val="12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sz="1000" b="1" strike="noStrike" spc="-1">
                    <a:solidFill>
                      <a:srgbClr val="000000"/>
                    </a:solidFill>
                    <a:latin typeface="Calibri"/>
                  </a:rPr>
                  <a:t>Taxa (% a.a.)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\%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pt-BR"/>
          </a:p>
        </c:txPr>
        <c:crossAx val="32148729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pt-BR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8</xdr:row>
      <xdr:rowOff>0</xdr:rowOff>
    </xdr:from>
    <xdr:to>
      <xdr:col>12</xdr:col>
      <xdr:colOff>30600</xdr:colOff>
      <xdr:row>38</xdr:row>
      <xdr:rowOff>30240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4A90D9"/>
  </sheetPr>
  <dimension ref="A1:N75"/>
  <sheetViews>
    <sheetView showGridLines="0" tabSelected="1" zoomScaleNormal="100" workbookViewId="0"/>
  </sheetViews>
  <sheetFormatPr defaultColWidth="8.6640625" defaultRowHeight="14.4" x14ac:dyDescent="0.3"/>
  <cols>
    <col min="1" max="1" width="3" customWidth="1"/>
    <col min="2" max="2" width="18" customWidth="1"/>
    <col min="3" max="5" width="16" customWidth="1"/>
    <col min="6" max="6" width="14" customWidth="1"/>
    <col min="7" max="10" width="16" customWidth="1"/>
    <col min="11" max="11" width="3" customWidth="1"/>
    <col min="12" max="13" width="16" customWidth="1"/>
    <col min="14" max="14" width="3" customWidth="1"/>
  </cols>
  <sheetData>
    <row r="1" spans="1:14" x14ac:dyDescent="0.3">
      <c r="A1" s="10"/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</row>
    <row r="2" spans="1:14" ht="30" customHeight="1" x14ac:dyDescent="0.3">
      <c r="A2" s="10"/>
      <c r="B2" s="9" t="s">
        <v>0</v>
      </c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10"/>
    </row>
    <row r="3" spans="1:14" x14ac:dyDescent="0.3">
      <c r="A3" s="10"/>
      <c r="B3" s="8" t="s">
        <v>1</v>
      </c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10"/>
    </row>
    <row r="4" spans="1:14" x14ac:dyDescent="0.3">
      <c r="A4" s="10"/>
      <c r="B4" s="10"/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</row>
    <row r="5" spans="1:14" ht="18" customHeight="1" x14ac:dyDescent="0.3">
      <c r="A5" s="10"/>
      <c r="B5" s="11" t="s">
        <v>2</v>
      </c>
      <c r="C5" s="12"/>
      <c r="D5" s="12"/>
      <c r="E5" s="11" t="s">
        <v>3</v>
      </c>
      <c r="F5" s="12"/>
      <c r="G5" s="12"/>
      <c r="H5" s="11" t="s">
        <v>4</v>
      </c>
      <c r="I5" s="12"/>
      <c r="J5" s="12"/>
      <c r="K5" s="11" t="s">
        <v>5</v>
      </c>
      <c r="L5" s="12"/>
      <c r="M5" s="12"/>
      <c r="N5" s="10"/>
    </row>
    <row r="6" spans="1:14" ht="27.75" customHeight="1" x14ac:dyDescent="0.3">
      <c r="A6" s="10"/>
      <c r="B6" s="13" t="s">
        <v>162</v>
      </c>
      <c r="C6" s="12"/>
      <c r="D6" s="12"/>
      <c r="E6" s="13" t="s">
        <v>163</v>
      </c>
      <c r="F6" s="12"/>
      <c r="G6" s="12"/>
      <c r="H6" s="13" t="s">
        <v>164</v>
      </c>
      <c r="I6" s="12"/>
      <c r="J6" s="12"/>
      <c r="K6" s="14" t="s">
        <v>165</v>
      </c>
      <c r="L6" s="12"/>
      <c r="M6" s="12"/>
      <c r="N6" s="10"/>
    </row>
    <row r="7" spans="1:14" ht="15.75" customHeight="1" x14ac:dyDescent="0.3">
      <c r="A7" s="10"/>
      <c r="B7" s="12"/>
      <c r="C7" s="12"/>
      <c r="D7" s="12"/>
      <c r="E7" s="12"/>
      <c r="F7" s="12"/>
      <c r="G7" s="12"/>
      <c r="H7" s="12"/>
      <c r="I7" s="12"/>
      <c r="J7" s="12"/>
      <c r="K7" s="15" t="s">
        <v>6</v>
      </c>
      <c r="L7" s="12"/>
      <c r="M7" s="12"/>
      <c r="N7" s="10"/>
    </row>
    <row r="8" spans="1:14" x14ac:dyDescent="0.3">
      <c r="A8" s="10"/>
      <c r="B8" s="10"/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</row>
    <row r="9" spans="1:14" x14ac:dyDescent="0.3">
      <c r="A9" s="10"/>
      <c r="B9" s="16" t="s">
        <v>7</v>
      </c>
      <c r="C9" s="16" t="s">
        <v>166</v>
      </c>
      <c r="D9" s="16" t="s">
        <v>167</v>
      </c>
      <c r="E9" s="16" t="s">
        <v>102</v>
      </c>
      <c r="F9" s="10"/>
      <c r="G9" s="10"/>
      <c r="H9" s="10"/>
      <c r="I9" s="10"/>
      <c r="J9" s="10"/>
      <c r="K9" s="10"/>
      <c r="L9" s="10"/>
      <c r="M9" s="10"/>
      <c r="N9" s="10"/>
    </row>
    <row r="10" spans="1:14" x14ac:dyDescent="0.3">
      <c r="A10" s="10"/>
      <c r="B10" s="16">
        <v>42</v>
      </c>
      <c r="C10" s="17">
        <v>14.549999999999997</v>
      </c>
      <c r="D10" s="17">
        <v>14.739999999999998</v>
      </c>
      <c r="E10" s="17">
        <f>Aux!E3*100</f>
        <v>14.460070655966195</v>
      </c>
      <c r="F10" s="10"/>
      <c r="G10" s="10"/>
      <c r="H10" s="10"/>
      <c r="I10" s="10"/>
      <c r="J10" s="10"/>
      <c r="K10" s="10"/>
      <c r="L10" s="10"/>
      <c r="M10" s="10"/>
      <c r="N10" s="10"/>
    </row>
    <row r="11" spans="1:14" x14ac:dyDescent="0.3">
      <c r="A11" s="10"/>
      <c r="B11" s="16">
        <v>84</v>
      </c>
      <c r="C11" s="17">
        <v>14.420000000000011</v>
      </c>
      <c r="D11" s="17">
        <v>14.400000000000013</v>
      </c>
      <c r="E11" s="17">
        <f>Aux!E5*100</f>
        <v>14.240188613328208</v>
      </c>
      <c r="F11" s="10"/>
      <c r="G11" s="10"/>
      <c r="H11" s="10"/>
      <c r="I11" s="10"/>
      <c r="J11" s="10"/>
      <c r="K11" s="10"/>
      <c r="L11" s="10"/>
      <c r="M11" s="10"/>
      <c r="N11" s="10"/>
    </row>
    <row r="12" spans="1:14" x14ac:dyDescent="0.3">
      <c r="A12" s="10"/>
      <c r="B12" s="16">
        <v>126</v>
      </c>
      <c r="C12" s="17">
        <v>14.31</v>
      </c>
      <c r="D12" s="17">
        <v>14.070000000000027</v>
      </c>
      <c r="E12" s="17">
        <f>Aux!E7*100</f>
        <v>14.090317150563081</v>
      </c>
      <c r="F12" s="10"/>
      <c r="G12" s="10"/>
      <c r="H12" s="10"/>
      <c r="I12" s="10"/>
      <c r="J12" s="10"/>
      <c r="K12" s="10"/>
      <c r="L12" s="10"/>
      <c r="M12" s="10"/>
      <c r="N12" s="10"/>
    </row>
    <row r="13" spans="1:14" x14ac:dyDescent="0.3">
      <c r="A13" s="10"/>
      <c r="B13" s="16">
        <v>168</v>
      </c>
      <c r="C13" s="17">
        <v>14.219988184840759</v>
      </c>
      <c r="D13" s="17">
        <v>13.702302316465964</v>
      </c>
      <c r="E13" s="17">
        <f>Aux!E9*100</f>
        <v>13.950377787448009</v>
      </c>
      <c r="F13" s="10"/>
      <c r="G13" s="10"/>
      <c r="H13" s="10"/>
      <c r="I13" s="10"/>
      <c r="J13" s="10"/>
      <c r="K13" s="10"/>
      <c r="L13" s="10"/>
      <c r="M13" s="10"/>
      <c r="N13" s="10"/>
    </row>
    <row r="14" spans="1:14" x14ac:dyDescent="0.3">
      <c r="A14" s="10"/>
      <c r="B14" s="16">
        <v>210</v>
      </c>
      <c r="C14" s="17">
        <v>14.157993271853142</v>
      </c>
      <c r="D14" s="17">
        <v>13.427847165111405</v>
      </c>
      <c r="E14" s="17">
        <f>Aux!E11*100</f>
        <v>13.870336124600534</v>
      </c>
      <c r="F14" s="10"/>
      <c r="G14" s="10"/>
      <c r="H14" s="10"/>
      <c r="I14" s="10"/>
      <c r="J14" s="10"/>
      <c r="K14" s="10"/>
      <c r="L14" s="10"/>
      <c r="M14" s="10"/>
      <c r="N14" s="10"/>
    </row>
    <row r="15" spans="1:14" x14ac:dyDescent="0.3">
      <c r="A15" s="10"/>
      <c r="B15" s="16">
        <v>252</v>
      </c>
      <c r="C15" s="17">
        <v>14.11</v>
      </c>
      <c r="D15" s="17">
        <v>13.200000000000012</v>
      </c>
      <c r="E15" s="17">
        <f>Aux!E13*100</f>
        <v>13.870336124600247</v>
      </c>
      <c r="F15" s="10"/>
      <c r="G15" s="10"/>
      <c r="H15" s="10"/>
      <c r="I15" s="10"/>
      <c r="J15" s="10"/>
      <c r="K15" s="10"/>
      <c r="L15" s="10"/>
      <c r="M15" s="10"/>
      <c r="N15" s="10"/>
    </row>
    <row r="16" spans="1:14" x14ac:dyDescent="0.3">
      <c r="A16" s="10"/>
      <c r="B16" s="16">
        <v>294</v>
      </c>
      <c r="C16" s="17">
        <v>14.049978954135579</v>
      </c>
      <c r="D16" s="17">
        <v>13.019808815554846</v>
      </c>
      <c r="E16" s="17">
        <f>Aux!E15*100</f>
        <v>13.690515081526588</v>
      </c>
      <c r="F16" s="10"/>
      <c r="G16" s="10"/>
      <c r="H16" s="10"/>
      <c r="I16" s="10"/>
      <c r="J16" s="10"/>
      <c r="K16" s="10"/>
      <c r="L16" s="10"/>
      <c r="M16" s="10"/>
      <c r="N16" s="10"/>
    </row>
    <row r="17" spans="1:14" x14ac:dyDescent="0.3">
      <c r="A17" s="10"/>
      <c r="B17" s="16">
        <v>336</v>
      </c>
      <c r="C17" s="17">
        <v>14.004983888879273</v>
      </c>
      <c r="D17" s="17">
        <v>12.884853682690721</v>
      </c>
      <c r="E17" s="17">
        <f>Aux!E17*100</f>
        <v>13.6905150815263</v>
      </c>
      <c r="F17" s="10"/>
      <c r="G17" s="10"/>
      <c r="H17" s="10"/>
      <c r="I17" s="10"/>
      <c r="J17" s="10"/>
      <c r="K17" s="10"/>
      <c r="L17" s="10"/>
      <c r="M17" s="10"/>
      <c r="N17" s="10"/>
    </row>
    <row r="18" spans="1:14" x14ac:dyDescent="0.3">
      <c r="A18" s="10"/>
      <c r="B18" s="16">
        <v>378</v>
      </c>
      <c r="C18" s="17">
        <v>13.969999999999994</v>
      </c>
      <c r="D18" s="17">
        <v>12.77999999999999</v>
      </c>
      <c r="E18" s="17">
        <f>Aux!E19*100</f>
        <v>13.690515081526588</v>
      </c>
      <c r="F18" s="10"/>
      <c r="G18" s="10"/>
      <c r="H18" s="10"/>
      <c r="I18" s="10"/>
      <c r="J18" s="10"/>
      <c r="K18" s="10"/>
      <c r="L18" s="10"/>
      <c r="M18" s="10"/>
      <c r="N18" s="10"/>
    </row>
    <row r="19" spans="1:14" x14ac:dyDescent="0.3">
      <c r="A19" s="10"/>
      <c r="B19" s="16">
        <v>420</v>
      </c>
      <c r="C19" s="17">
        <v>13.929989465983406</v>
      </c>
      <c r="D19" s="17">
        <v>12.7199760425883</v>
      </c>
      <c r="E19" s="17">
        <f>Aux!E21*100</f>
        <v>13.570526146448891</v>
      </c>
      <c r="F19" s="10"/>
      <c r="G19" s="10"/>
      <c r="H19" s="10"/>
      <c r="I19" s="10"/>
      <c r="J19" s="10"/>
      <c r="K19" s="10"/>
      <c r="L19" s="10"/>
      <c r="M19" s="10"/>
      <c r="N19" s="10"/>
    </row>
    <row r="20" spans="1:14" x14ac:dyDescent="0.3">
      <c r="A20" s="10"/>
      <c r="B20" s="16">
        <v>462</v>
      </c>
      <c r="C20" s="17">
        <v>13.89726402230751</v>
      </c>
      <c r="D20" s="17">
        <v>12.67088929426976</v>
      </c>
      <c r="E20" s="17">
        <f>Aux!E23*100</f>
        <v>13.570526146448291</v>
      </c>
      <c r="F20" s="10"/>
      <c r="G20" s="10"/>
      <c r="H20" s="10"/>
      <c r="I20" s="10"/>
      <c r="J20" s="10"/>
      <c r="K20" s="10"/>
      <c r="L20" s="10"/>
      <c r="M20" s="10"/>
      <c r="N20" s="10"/>
    </row>
    <row r="21" spans="1:14" x14ac:dyDescent="0.3">
      <c r="A21" s="10"/>
      <c r="B21" s="16">
        <v>504</v>
      </c>
      <c r="C21" s="17">
        <v>13.870000000000005</v>
      </c>
      <c r="D21" s="17">
        <v>12.630000000000008</v>
      </c>
      <c r="E21" s="17">
        <f>Aux!E25*100</f>
        <v>13.570526146448604</v>
      </c>
      <c r="F21" s="10"/>
      <c r="G21" s="10"/>
      <c r="H21" s="10"/>
      <c r="I21" s="10"/>
      <c r="J21" s="10"/>
      <c r="K21" s="10"/>
      <c r="L21" s="10"/>
      <c r="M21" s="10"/>
      <c r="N21" s="10"/>
    </row>
    <row r="22" spans="1:14" x14ac:dyDescent="0.3">
      <c r="A22" s="10"/>
      <c r="B22" s="16">
        <v>546</v>
      </c>
      <c r="C22" s="17">
        <v>13.870000000000005</v>
      </c>
      <c r="D22" s="17">
        <v>12.637691887442347</v>
      </c>
      <c r="E22" s="17">
        <f>Aux!E27*100</f>
        <v>13.869999999999916</v>
      </c>
      <c r="F22" s="10"/>
      <c r="G22" s="10"/>
      <c r="H22" s="10"/>
      <c r="I22" s="10"/>
      <c r="J22" s="10"/>
      <c r="K22" s="10"/>
      <c r="L22" s="10"/>
      <c r="M22" s="10"/>
      <c r="N22" s="10"/>
    </row>
    <row r="23" spans="1:14" x14ac:dyDescent="0.3">
      <c r="A23" s="10"/>
      <c r="B23" s="16">
        <v>588</v>
      </c>
      <c r="C23" s="17">
        <v>13.870000000000005</v>
      </c>
      <c r="D23" s="17">
        <v>12.644285351920281</v>
      </c>
      <c r="E23" s="17">
        <f>Aux!E29*100</f>
        <v>13.869999999999916</v>
      </c>
      <c r="F23" s="10"/>
      <c r="G23" s="10"/>
      <c r="H23" s="10"/>
      <c r="I23" s="10"/>
      <c r="J23" s="10"/>
      <c r="K23" s="10"/>
      <c r="L23" s="10"/>
      <c r="M23" s="10"/>
      <c r="N23" s="10"/>
    </row>
    <row r="24" spans="1:14" x14ac:dyDescent="0.3">
      <c r="A24" s="10"/>
      <c r="B24" s="16">
        <v>630</v>
      </c>
      <c r="C24" s="17">
        <v>13.870000000000005</v>
      </c>
      <c r="D24" s="17">
        <v>12.650000000000006</v>
      </c>
      <c r="E24" s="17">
        <f>Aux!E31*100</f>
        <v>13.870000000000227</v>
      </c>
      <c r="F24" s="10"/>
      <c r="G24" s="10"/>
      <c r="H24" s="10"/>
      <c r="I24" s="10"/>
      <c r="J24" s="10"/>
      <c r="K24" s="10"/>
      <c r="L24" s="10"/>
      <c r="M24" s="10"/>
      <c r="N24" s="10"/>
    </row>
    <row r="25" spans="1:14" x14ac:dyDescent="0.3">
      <c r="A25" s="10"/>
      <c r="B25" s="16">
        <v>672</v>
      </c>
      <c r="C25" s="17">
        <v>13.881249073911462</v>
      </c>
      <c r="D25" s="17">
        <v>12.679993344770256</v>
      </c>
      <c r="E25" s="17">
        <f>Aux!E33*100</f>
        <v>14.050118597902618</v>
      </c>
      <c r="F25" s="10"/>
      <c r="G25" s="10"/>
      <c r="H25" s="10"/>
      <c r="I25" s="10"/>
      <c r="J25" s="10"/>
      <c r="K25" s="10"/>
      <c r="L25" s="10"/>
      <c r="M25" s="10"/>
      <c r="N25" s="10"/>
    </row>
    <row r="26" spans="1:14" x14ac:dyDescent="0.3">
      <c r="A26" s="10"/>
      <c r="B26" s="16">
        <v>714</v>
      </c>
      <c r="C26" s="17">
        <v>13.891175650222998</v>
      </c>
      <c r="D26" s="17">
        <v>12.706464692483666</v>
      </c>
      <c r="E26" s="17">
        <f>Aux!E35*100</f>
        <v>14.050118597902905</v>
      </c>
      <c r="F26" s="10"/>
      <c r="G26" s="10"/>
      <c r="H26" s="10"/>
      <c r="I26" s="10"/>
      <c r="J26" s="10"/>
      <c r="K26" s="10"/>
      <c r="L26" s="10"/>
      <c r="M26" s="10"/>
      <c r="N26" s="10"/>
    </row>
    <row r="27" spans="1:14" x14ac:dyDescent="0.3">
      <c r="A27" s="10"/>
      <c r="B27" s="16">
        <v>756</v>
      </c>
      <c r="C27" s="17">
        <v>13.900000000000002</v>
      </c>
      <c r="D27" s="17">
        <v>12.729999999999997</v>
      </c>
      <c r="E27" s="17">
        <f>Aux!E37*100</f>
        <v>14.050118597902905</v>
      </c>
      <c r="F27" s="10"/>
      <c r="G27" s="10"/>
      <c r="H27" s="10"/>
      <c r="I27" s="10"/>
      <c r="J27" s="10"/>
      <c r="K27" s="10"/>
      <c r="L27" s="10"/>
      <c r="M27" s="10"/>
      <c r="N27" s="10"/>
    </row>
    <row r="28" spans="1:14" x14ac:dyDescent="0.3">
      <c r="A28" s="10"/>
      <c r="B28" s="16">
        <v>798</v>
      </c>
      <c r="C28" s="17">
        <v>13.911051712402966</v>
      </c>
      <c r="D28" s="17">
        <v>12.770513834554386</v>
      </c>
      <c r="E28" s="17">
        <f>Aux!E39*100</f>
        <v>14.110166007892788</v>
      </c>
      <c r="F28" s="10"/>
      <c r="G28" s="10"/>
      <c r="H28" s="10"/>
      <c r="I28" s="10"/>
      <c r="J28" s="10"/>
      <c r="K28" s="10"/>
      <c r="L28" s="10"/>
      <c r="M28" s="10"/>
      <c r="N28" s="10"/>
    </row>
    <row r="29" spans="1:14" x14ac:dyDescent="0.3">
      <c r="A29" s="10"/>
      <c r="B29" s="16">
        <v>840</v>
      </c>
      <c r="C29" s="17">
        <v>13.920999170419513</v>
      </c>
      <c r="D29" s="17">
        <v>12.806988734470991</v>
      </c>
      <c r="E29" s="17">
        <f>Aux!E41*100</f>
        <v>14.11016600789219</v>
      </c>
      <c r="F29" s="10"/>
      <c r="G29" s="10"/>
      <c r="H29" s="10"/>
      <c r="I29" s="10"/>
      <c r="J29" s="10"/>
      <c r="K29" s="10"/>
      <c r="L29" s="10"/>
      <c r="M29" s="10"/>
      <c r="N29" s="10"/>
    </row>
    <row r="30" spans="1:14" x14ac:dyDescent="0.3">
      <c r="A30" s="10"/>
      <c r="B30" s="16">
        <v>882</v>
      </c>
      <c r="C30" s="17">
        <v>13.929999999999998</v>
      </c>
      <c r="D30" s="17">
        <v>12.840000000000007</v>
      </c>
      <c r="E30" s="17">
        <f>Aux!E43*100</f>
        <v>14.110166007892499</v>
      </c>
      <c r="F30" s="10"/>
      <c r="G30" s="10"/>
      <c r="H30" s="10"/>
      <c r="I30" s="10"/>
      <c r="J30" s="10"/>
      <c r="K30" s="10"/>
      <c r="L30" s="10"/>
      <c r="M30" s="10"/>
      <c r="N30" s="10"/>
    </row>
    <row r="31" spans="1:14" x14ac:dyDescent="0.3">
      <c r="A31" s="10"/>
      <c r="B31" s="16">
        <v>924</v>
      </c>
      <c r="C31" s="17">
        <v>13.937272321088567</v>
      </c>
      <c r="D31" s="17">
        <v>12.87998759964497</v>
      </c>
      <c r="E31" s="17">
        <f>Aux!E45*100</f>
        <v>14.090098340499434</v>
      </c>
      <c r="F31" s="10"/>
      <c r="G31" s="10"/>
      <c r="H31" s="10"/>
      <c r="I31" s="10"/>
      <c r="J31" s="10"/>
      <c r="K31" s="10"/>
      <c r="L31" s="10"/>
      <c r="M31" s="10"/>
      <c r="N31" s="10"/>
    </row>
    <row r="32" spans="1:14" ht="16.8" x14ac:dyDescent="0.3">
      <c r="A32" s="10"/>
      <c r="B32" s="7" t="s">
        <v>8</v>
      </c>
      <c r="C32" s="7"/>
      <c r="D32" s="7"/>
      <c r="E32" s="7"/>
      <c r="F32" s="7"/>
      <c r="G32" s="10"/>
      <c r="H32" s="10"/>
      <c r="I32" s="10"/>
      <c r="J32" s="10"/>
      <c r="K32" s="10"/>
      <c r="L32" s="10"/>
      <c r="M32" s="10"/>
      <c r="N32" s="10"/>
    </row>
    <row r="33" spans="1:14" x14ac:dyDescent="0.3">
      <c r="A33" s="10"/>
      <c r="B33" s="16">
        <v>1008</v>
      </c>
      <c r="C33" s="17">
        <v>13.949999999999996</v>
      </c>
      <c r="D33" s="17">
        <v>12.949999999999996</v>
      </c>
      <c r="E33" s="17">
        <f>Aux!E49*100</f>
        <v>14.090098340499146</v>
      </c>
      <c r="F33" s="10"/>
      <c r="G33" s="10"/>
      <c r="H33" s="10"/>
      <c r="I33" s="10"/>
      <c r="J33" s="10"/>
      <c r="K33" s="10"/>
      <c r="L33" s="10"/>
      <c r="M33" s="10"/>
      <c r="N33" s="10"/>
    </row>
    <row r="34" spans="1:14" x14ac:dyDescent="0.3">
      <c r="A34" s="10"/>
      <c r="B34" s="18" t="s">
        <v>9</v>
      </c>
      <c r="C34" s="17">
        <v>14.26</v>
      </c>
      <c r="D34" s="6" t="s">
        <v>10</v>
      </c>
      <c r="E34" s="6"/>
      <c r="F34" s="19" t="s">
        <v>11</v>
      </c>
      <c r="G34" s="10"/>
      <c r="H34" s="10"/>
      <c r="I34" s="10"/>
      <c r="J34" s="10"/>
      <c r="K34" s="10"/>
      <c r="L34" s="10"/>
      <c r="M34" s="10"/>
      <c r="N34" s="10"/>
    </row>
    <row r="35" spans="1:14" x14ac:dyDescent="0.3">
      <c r="A35" s="10"/>
      <c r="B35" s="16">
        <v>1092</v>
      </c>
      <c r="C35" s="17">
        <v>13.970768389637245</v>
      </c>
      <c r="D35" s="17">
        <v>13.012300056872682</v>
      </c>
      <c r="E35" s="17">
        <f>Aux!E53*100</f>
        <v>14.220284509972236</v>
      </c>
      <c r="F35" s="10"/>
      <c r="G35" s="10"/>
      <c r="H35" s="10"/>
      <c r="I35" s="10"/>
      <c r="J35" s="10"/>
      <c r="K35" s="10"/>
      <c r="L35" s="10"/>
      <c r="M35" s="10"/>
      <c r="N35" s="10"/>
    </row>
    <row r="36" spans="1:14" ht="15.6" x14ac:dyDescent="0.3">
      <c r="A36" s="10"/>
      <c r="B36" s="18" t="s">
        <v>12</v>
      </c>
      <c r="C36" s="17">
        <v>14.24</v>
      </c>
      <c r="D36" s="20">
        <f>VLOOKUP(D34,Aux!A:C,3,FALSE())</f>
        <v>0.1411</v>
      </c>
      <c r="E36" s="17">
        <f>Aux!E28*100</f>
        <v>13.869999999999916</v>
      </c>
      <c r="F36" s="18" t="s">
        <v>13</v>
      </c>
      <c r="G36" s="10"/>
      <c r="H36" s="21">
        <f>VLOOKUP(D34,Aux!A:D,4,FALSE())</f>
        <v>0.13200000000000012</v>
      </c>
      <c r="I36" s="10"/>
      <c r="J36" s="10"/>
      <c r="K36" s="10"/>
      <c r="L36" s="10"/>
      <c r="M36" s="10"/>
      <c r="N36" s="10"/>
    </row>
    <row r="37" spans="1:14" x14ac:dyDescent="0.3">
      <c r="A37" s="10"/>
      <c r="B37" s="18" t="s">
        <v>14</v>
      </c>
      <c r="C37" s="17">
        <v>14.23</v>
      </c>
      <c r="D37" s="22">
        <f>VLOOKUP(D34,Aux!A:B,2,FALSE())</f>
        <v>252</v>
      </c>
      <c r="E37" s="17">
        <f>Aux!E29*100</f>
        <v>13.869999999999916</v>
      </c>
      <c r="F37" s="18" t="s">
        <v>15</v>
      </c>
      <c r="G37" s="10"/>
      <c r="H37" s="23">
        <f>(D36-H36)*10000</f>
        <v>90.999999999998863</v>
      </c>
      <c r="I37" s="10"/>
      <c r="J37" s="10"/>
      <c r="K37" s="10"/>
      <c r="L37" s="10"/>
      <c r="M37" s="10"/>
      <c r="N37" s="10"/>
    </row>
    <row r="38" spans="1:14" x14ac:dyDescent="0.3">
      <c r="A38" s="10"/>
      <c r="B38" s="16">
        <v>1218</v>
      </c>
      <c r="C38" s="17">
        <v>14.000688810262417</v>
      </c>
      <c r="D38" s="17">
        <v>13.102061299877633</v>
      </c>
      <c r="E38" s="17">
        <f>Aux!E59*100</f>
        <v>14.280355575005954</v>
      </c>
      <c r="F38" s="10"/>
      <c r="G38" s="10"/>
      <c r="H38" s="10"/>
      <c r="I38" s="10"/>
      <c r="J38" s="10"/>
      <c r="K38" s="10"/>
      <c r="L38" s="10"/>
      <c r="M38" s="10"/>
      <c r="N38" s="10"/>
    </row>
    <row r="39" spans="1:14" x14ac:dyDescent="0.3">
      <c r="A39" s="10"/>
      <c r="B39" s="10"/>
      <c r="C39" s="10"/>
      <c r="D39" s="10"/>
      <c r="E39" s="10"/>
      <c r="F39" s="10"/>
      <c r="G39" s="10"/>
      <c r="H39" s="10"/>
      <c r="I39" s="10"/>
      <c r="J39" s="10"/>
      <c r="K39" s="10"/>
      <c r="L39" s="10"/>
      <c r="M39" s="10"/>
      <c r="N39" s="10"/>
    </row>
    <row r="40" spans="1:14" ht="16.8" x14ac:dyDescent="0.3">
      <c r="A40" s="10"/>
      <c r="B40" s="5" t="s">
        <v>16</v>
      </c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10"/>
    </row>
    <row r="41" spans="1:14" x14ac:dyDescent="0.3">
      <c r="A41" s="10"/>
      <c r="B41" s="10"/>
      <c r="C41" s="10"/>
      <c r="D41" s="10"/>
      <c r="E41" s="10"/>
      <c r="F41" s="10"/>
      <c r="G41" s="10"/>
      <c r="H41" s="10"/>
      <c r="I41" s="10"/>
      <c r="J41" s="10"/>
      <c r="K41" s="10"/>
      <c r="L41" s="10"/>
      <c r="M41" s="10"/>
      <c r="N41" s="10"/>
    </row>
    <row r="42" spans="1:14" x14ac:dyDescent="0.3">
      <c r="A42" s="10"/>
      <c r="B42" s="18" t="s">
        <v>17</v>
      </c>
      <c r="C42" s="10"/>
      <c r="D42" s="4" t="s">
        <v>18</v>
      </c>
      <c r="E42" s="4"/>
      <c r="F42" s="19" t="s">
        <v>11</v>
      </c>
      <c r="G42" s="18" t="s">
        <v>19</v>
      </c>
      <c r="H42" s="10"/>
      <c r="I42" s="24">
        <f>VLOOKUP(D42,Aux!F:G,2,FALSE())</f>
        <v>378</v>
      </c>
      <c r="J42" s="10"/>
      <c r="K42" s="10"/>
      <c r="L42" s="10"/>
      <c r="M42" s="10"/>
      <c r="N42" s="10"/>
    </row>
    <row r="43" spans="1:14" x14ac:dyDescent="0.3">
      <c r="A43" s="10"/>
      <c r="B43" s="18" t="s">
        <v>20</v>
      </c>
      <c r="C43" s="10"/>
      <c r="D43" s="25">
        <v>1000</v>
      </c>
      <c r="E43" s="10"/>
      <c r="F43" s="10"/>
      <c r="G43" s="18" t="s">
        <v>21</v>
      </c>
      <c r="H43" s="10"/>
      <c r="I43" s="26">
        <f>INDEX(Aux!C:C,MATCH(I42,Aux!B:B,0))</f>
        <v>0.13969999999999994</v>
      </c>
      <c r="J43" s="10"/>
      <c r="K43" s="10"/>
      <c r="L43" s="10"/>
      <c r="M43" s="10"/>
      <c r="N43" s="10"/>
    </row>
    <row r="44" spans="1:14" x14ac:dyDescent="0.3">
      <c r="A44" s="10"/>
      <c r="B44" s="10"/>
      <c r="C44" s="10"/>
      <c r="D44" s="10"/>
      <c r="E44" s="10"/>
      <c r="F44" s="10"/>
      <c r="G44" s="10"/>
      <c r="H44" s="10"/>
      <c r="I44" s="10"/>
      <c r="J44" s="10"/>
      <c r="K44" s="10"/>
      <c r="L44" s="10"/>
      <c r="M44" s="10"/>
      <c r="N44" s="10"/>
    </row>
    <row r="45" spans="1:14" x14ac:dyDescent="0.3">
      <c r="A45" s="10"/>
      <c r="B45" s="27" t="s">
        <v>22</v>
      </c>
      <c r="C45" s="12"/>
      <c r="D45" s="12"/>
      <c r="E45" s="27" t="s">
        <v>23</v>
      </c>
      <c r="F45" s="12"/>
      <c r="G45" s="12"/>
      <c r="H45" s="27" t="s">
        <v>24</v>
      </c>
      <c r="I45" s="12"/>
      <c r="J45" s="12"/>
      <c r="K45" s="10"/>
      <c r="L45" s="10"/>
      <c r="M45" s="10"/>
      <c r="N45" s="10"/>
    </row>
    <row r="46" spans="1:14" ht="22.8" x14ac:dyDescent="0.3">
      <c r="A46" s="10"/>
      <c r="B46" s="28">
        <f>D43/((1+I43)^(I42/252))</f>
        <v>821.89091066502567</v>
      </c>
      <c r="C46" s="12"/>
      <c r="D46" s="12"/>
      <c r="E46" s="29">
        <f>I42/252</f>
        <v>1.5</v>
      </c>
      <c r="F46" s="12"/>
      <c r="G46" s="12"/>
      <c r="H46" s="30">
        <f>(D43/((1+I43-0.0001)^(I42/252)) - D43/((1+I43+0.0001)^(I42/252)))/2</f>
        <v>0.10817200840909891</v>
      </c>
      <c r="I46" s="12"/>
      <c r="J46" s="12"/>
      <c r="K46" s="10"/>
      <c r="L46" s="10"/>
      <c r="M46" s="10"/>
      <c r="N46" s="10"/>
    </row>
    <row r="47" spans="1:14" x14ac:dyDescent="0.3">
      <c r="A47" s="10"/>
      <c r="B47" s="12"/>
      <c r="C47" s="12"/>
      <c r="D47" s="12"/>
      <c r="E47" s="12"/>
      <c r="F47" s="12"/>
      <c r="G47" s="12"/>
      <c r="H47" s="12"/>
      <c r="I47" s="12"/>
      <c r="J47" s="12"/>
      <c r="K47" s="10"/>
      <c r="L47" s="10"/>
      <c r="M47" s="10"/>
      <c r="N47" s="10"/>
    </row>
    <row r="48" spans="1:14" x14ac:dyDescent="0.3">
      <c r="A48" s="10"/>
      <c r="B48" s="3" t="s">
        <v>25</v>
      </c>
      <c r="C48" s="3"/>
      <c r="D48" s="3"/>
      <c r="E48" s="31" t="s">
        <v>26</v>
      </c>
      <c r="F48" s="10"/>
      <c r="G48" s="10"/>
      <c r="H48" s="31" t="s">
        <v>27</v>
      </c>
      <c r="I48" s="10"/>
      <c r="J48" s="10"/>
      <c r="K48" s="10"/>
      <c r="L48" s="10"/>
      <c r="M48" s="10"/>
      <c r="N48" s="10"/>
    </row>
    <row r="49" spans="1:14" ht="17.399999999999999" x14ac:dyDescent="0.3">
      <c r="A49" s="10"/>
      <c r="B49" s="32">
        <f>D43/((1+I43+0.005)^(I42/252))</f>
        <v>816.51181946044858</v>
      </c>
      <c r="C49" s="12"/>
      <c r="D49" s="12"/>
      <c r="E49" s="33">
        <f>B49-B46</f>
        <v>-5.3790912045770938</v>
      </c>
      <c r="F49" s="12"/>
      <c r="G49" s="12"/>
      <c r="H49" s="34">
        <f>(B49-B46)/B46</f>
        <v>-6.5447751456755377E-3</v>
      </c>
      <c r="I49" s="12"/>
      <c r="J49" s="12"/>
      <c r="K49" s="10"/>
      <c r="L49" s="10"/>
      <c r="M49" s="10"/>
      <c r="N49" s="10"/>
    </row>
    <row r="50" spans="1:14" x14ac:dyDescent="0.3">
      <c r="A50" s="10"/>
      <c r="B50" s="10"/>
      <c r="C50" s="10"/>
      <c r="D50" s="10"/>
      <c r="E50" s="10"/>
      <c r="F50" s="10"/>
      <c r="G50" s="10"/>
      <c r="H50" s="10"/>
      <c r="I50" s="10"/>
      <c r="J50" s="10"/>
      <c r="K50" s="10"/>
      <c r="L50" s="10"/>
      <c r="M50" s="10"/>
      <c r="N50" s="10"/>
    </row>
    <row r="51" spans="1:14" x14ac:dyDescent="0.3">
      <c r="A51" s="10"/>
      <c r="B51" s="16" t="s">
        <v>28</v>
      </c>
      <c r="C51" s="10"/>
      <c r="D51" s="10"/>
      <c r="E51" s="10"/>
      <c r="F51" s="10"/>
      <c r="G51" s="10"/>
      <c r="H51" s="10"/>
      <c r="I51" s="10"/>
      <c r="J51" s="10"/>
      <c r="K51" s="10"/>
      <c r="L51" s="10"/>
      <c r="M51" s="10"/>
      <c r="N51" s="10"/>
    </row>
    <row r="52" spans="1:14" x14ac:dyDescent="0.3">
      <c r="A52" s="10"/>
      <c r="B52" s="10"/>
      <c r="C52" s="10"/>
      <c r="D52" s="10"/>
      <c r="E52" s="10"/>
      <c r="F52" s="10"/>
      <c r="G52" s="10"/>
      <c r="H52" s="10"/>
      <c r="I52" s="10"/>
      <c r="J52" s="10"/>
      <c r="K52" s="10"/>
      <c r="L52" s="10"/>
      <c r="M52" s="10"/>
      <c r="N52" s="10"/>
    </row>
    <row r="53" spans="1:14" x14ac:dyDescent="0.3">
      <c r="A53" s="10"/>
      <c r="B53" s="10"/>
      <c r="C53" s="10"/>
      <c r="D53" s="10"/>
      <c r="E53" s="10"/>
      <c r="F53" s="10"/>
      <c r="G53" s="10"/>
      <c r="H53" s="10"/>
      <c r="I53" s="10"/>
      <c r="J53" s="10"/>
      <c r="K53" s="10"/>
      <c r="L53" s="10"/>
      <c r="M53" s="10"/>
      <c r="N53" s="10"/>
    </row>
    <row r="54" spans="1:14" x14ac:dyDescent="0.3">
      <c r="A54" s="10"/>
      <c r="B54" s="10"/>
      <c r="C54" s="10"/>
      <c r="D54" s="10"/>
      <c r="E54" s="10"/>
      <c r="F54" s="10"/>
      <c r="G54" s="10"/>
      <c r="H54" s="10"/>
      <c r="I54" s="10"/>
      <c r="J54" s="10"/>
      <c r="K54" s="10"/>
      <c r="L54" s="10"/>
      <c r="M54" s="10"/>
      <c r="N54" s="10"/>
    </row>
    <row r="55" spans="1:14" x14ac:dyDescent="0.3">
      <c r="A55" s="10"/>
      <c r="B55" s="10"/>
      <c r="C55" s="10"/>
      <c r="D55" s="10"/>
      <c r="E55" s="10"/>
      <c r="F55" s="10"/>
      <c r="G55" s="10"/>
      <c r="H55" s="10"/>
      <c r="I55" s="10"/>
      <c r="J55" s="10"/>
      <c r="K55" s="10"/>
      <c r="L55" s="10"/>
      <c r="M55" s="10"/>
      <c r="N55" s="10"/>
    </row>
    <row r="56" spans="1:14" x14ac:dyDescent="0.3">
      <c r="A56" s="10"/>
      <c r="B56" s="10"/>
      <c r="C56" s="10"/>
      <c r="D56" s="10"/>
      <c r="E56" s="10"/>
      <c r="F56" s="10"/>
      <c r="G56" s="10"/>
      <c r="H56" s="10"/>
      <c r="I56" s="10"/>
      <c r="J56" s="10"/>
      <c r="K56" s="10"/>
      <c r="L56" s="10"/>
      <c r="M56" s="10"/>
      <c r="N56" s="10"/>
    </row>
    <row r="57" spans="1:14" x14ac:dyDescent="0.3">
      <c r="A57" s="10"/>
      <c r="B57" s="10"/>
      <c r="C57" s="10"/>
      <c r="D57" s="10"/>
      <c r="E57" s="10"/>
      <c r="F57" s="10"/>
      <c r="G57" s="10"/>
      <c r="H57" s="10"/>
      <c r="I57" s="10"/>
      <c r="J57" s="10"/>
      <c r="K57" s="10"/>
      <c r="L57" s="10"/>
      <c r="M57" s="10"/>
      <c r="N57" s="10"/>
    </row>
    <row r="58" spans="1:14" x14ac:dyDescent="0.3">
      <c r="A58" s="10"/>
      <c r="B58" s="10"/>
      <c r="C58" s="10"/>
      <c r="D58" s="10"/>
      <c r="E58" s="10"/>
      <c r="F58" s="10"/>
      <c r="G58" s="10"/>
      <c r="H58" s="10"/>
      <c r="I58" s="10"/>
      <c r="J58" s="10"/>
      <c r="K58" s="10"/>
      <c r="L58" s="10"/>
      <c r="M58" s="10"/>
      <c r="N58" s="10"/>
    </row>
    <row r="59" spans="1:14" x14ac:dyDescent="0.3">
      <c r="A59" s="10"/>
      <c r="B59" s="10"/>
      <c r="C59" s="10"/>
      <c r="D59" s="10"/>
      <c r="E59" s="10"/>
      <c r="F59" s="10"/>
      <c r="G59" s="10"/>
      <c r="H59" s="10"/>
      <c r="I59" s="10"/>
      <c r="J59" s="10"/>
      <c r="K59" s="10"/>
      <c r="L59" s="10"/>
      <c r="M59" s="10"/>
      <c r="N59" s="10"/>
    </row>
    <row r="60" spans="1:14" x14ac:dyDescent="0.3">
      <c r="A60" s="10"/>
      <c r="B60" s="10"/>
      <c r="C60" s="10"/>
      <c r="D60" s="10"/>
      <c r="E60" s="10"/>
      <c r="F60" s="10"/>
      <c r="G60" s="10"/>
      <c r="H60" s="10"/>
      <c r="I60" s="10"/>
      <c r="J60" s="10"/>
      <c r="K60" s="10"/>
      <c r="L60" s="10"/>
      <c r="M60" s="10"/>
      <c r="N60" s="10"/>
    </row>
    <row r="61" spans="1:14" x14ac:dyDescent="0.3">
      <c r="A61" s="10"/>
      <c r="B61" s="10"/>
      <c r="C61" s="10"/>
      <c r="D61" s="10"/>
      <c r="E61" s="10"/>
      <c r="F61" s="10"/>
      <c r="G61" s="10"/>
      <c r="H61" s="10"/>
      <c r="I61" s="10"/>
      <c r="J61" s="10"/>
      <c r="K61" s="10"/>
      <c r="L61" s="10"/>
      <c r="M61" s="10"/>
      <c r="N61" s="10"/>
    </row>
    <row r="62" spans="1:14" x14ac:dyDescent="0.3">
      <c r="A62" s="10"/>
      <c r="B62" s="10"/>
      <c r="C62" s="10"/>
      <c r="D62" s="10"/>
      <c r="E62" s="10"/>
      <c r="F62" s="10"/>
      <c r="G62" s="10"/>
      <c r="H62" s="10"/>
      <c r="I62" s="10"/>
      <c r="J62" s="10"/>
      <c r="K62" s="10"/>
      <c r="L62" s="10"/>
      <c r="M62" s="10"/>
      <c r="N62" s="10"/>
    </row>
    <row r="63" spans="1:14" x14ac:dyDescent="0.3">
      <c r="A63" s="10"/>
      <c r="B63" s="10"/>
      <c r="C63" s="10"/>
      <c r="D63" s="10"/>
      <c r="E63" s="10"/>
      <c r="F63" s="10"/>
      <c r="G63" s="10"/>
      <c r="H63" s="10"/>
      <c r="I63" s="10"/>
      <c r="J63" s="10"/>
      <c r="K63" s="10"/>
      <c r="L63" s="10"/>
      <c r="M63" s="10"/>
      <c r="N63" s="10"/>
    </row>
    <row r="64" spans="1:14" x14ac:dyDescent="0.3">
      <c r="A64" s="10"/>
      <c r="B64" s="10"/>
      <c r="C64" s="10"/>
      <c r="D64" s="10"/>
      <c r="E64" s="10"/>
      <c r="F64" s="10"/>
      <c r="G64" s="10"/>
      <c r="H64" s="10"/>
      <c r="I64" s="10"/>
      <c r="J64" s="10"/>
      <c r="K64" s="10"/>
      <c r="L64" s="10"/>
      <c r="M64" s="10"/>
      <c r="N64" s="10"/>
    </row>
    <row r="65" spans="1:14" x14ac:dyDescent="0.3">
      <c r="A65" s="10"/>
      <c r="B65" s="10"/>
      <c r="C65" s="10"/>
      <c r="D65" s="10"/>
      <c r="E65" s="10"/>
      <c r="F65" s="10"/>
      <c r="G65" s="10"/>
      <c r="H65" s="10"/>
      <c r="I65" s="10"/>
      <c r="J65" s="10"/>
      <c r="K65" s="10"/>
      <c r="L65" s="10"/>
      <c r="M65" s="10"/>
      <c r="N65" s="10"/>
    </row>
    <row r="66" spans="1:14" x14ac:dyDescent="0.3">
      <c r="A66" s="10"/>
      <c r="B66" s="10"/>
      <c r="C66" s="10"/>
      <c r="D66" s="10"/>
      <c r="E66" s="10"/>
      <c r="F66" s="10"/>
      <c r="G66" s="10"/>
      <c r="H66" s="10"/>
      <c r="I66" s="10"/>
      <c r="J66" s="10"/>
      <c r="K66" s="10"/>
      <c r="L66" s="10"/>
      <c r="M66" s="10"/>
      <c r="N66" s="10"/>
    </row>
    <row r="67" spans="1:14" x14ac:dyDescent="0.3">
      <c r="A67" s="10"/>
      <c r="B67" s="10"/>
      <c r="C67" s="10"/>
      <c r="D67" s="10"/>
      <c r="E67" s="10"/>
      <c r="F67" s="10"/>
      <c r="G67" s="10"/>
      <c r="H67" s="10"/>
      <c r="I67" s="10"/>
      <c r="J67" s="10"/>
      <c r="K67" s="10"/>
      <c r="L67" s="10"/>
      <c r="M67" s="10"/>
      <c r="N67" s="10"/>
    </row>
    <row r="68" spans="1:14" x14ac:dyDescent="0.3">
      <c r="A68" s="10"/>
      <c r="B68" s="10"/>
      <c r="C68" s="10"/>
      <c r="D68" s="10"/>
      <c r="E68" s="10"/>
      <c r="F68" s="10"/>
      <c r="G68" s="10"/>
      <c r="H68" s="10"/>
      <c r="I68" s="10"/>
      <c r="J68" s="10"/>
      <c r="K68" s="10"/>
      <c r="L68" s="10"/>
      <c r="M68" s="10"/>
      <c r="N68" s="10"/>
    </row>
    <row r="69" spans="1:14" x14ac:dyDescent="0.3">
      <c r="A69" s="10"/>
      <c r="B69" s="10"/>
      <c r="C69" s="10"/>
      <c r="D69" s="10"/>
      <c r="E69" s="10"/>
      <c r="F69" s="10"/>
      <c r="G69" s="10"/>
      <c r="H69" s="10"/>
      <c r="I69" s="10"/>
      <c r="J69" s="10"/>
      <c r="K69" s="10"/>
      <c r="L69" s="10"/>
      <c r="M69" s="10"/>
      <c r="N69" s="10"/>
    </row>
    <row r="70" spans="1:14" x14ac:dyDescent="0.3">
      <c r="A70" s="10"/>
      <c r="B70" s="10"/>
      <c r="C70" s="10"/>
      <c r="D70" s="10"/>
      <c r="E70" s="10"/>
      <c r="F70" s="10"/>
      <c r="G70" s="10"/>
      <c r="H70" s="10"/>
      <c r="I70" s="10"/>
      <c r="J70" s="10"/>
      <c r="K70" s="10"/>
      <c r="L70" s="10"/>
      <c r="M70" s="10"/>
      <c r="N70" s="10"/>
    </row>
    <row r="71" spans="1:14" x14ac:dyDescent="0.3">
      <c r="A71" s="10"/>
      <c r="B71" s="10"/>
      <c r="C71" s="10"/>
      <c r="D71" s="10"/>
      <c r="E71" s="10"/>
      <c r="F71" s="10"/>
      <c r="G71" s="10"/>
      <c r="H71" s="10"/>
      <c r="I71" s="10"/>
      <c r="J71" s="10"/>
      <c r="K71" s="10"/>
      <c r="L71" s="10"/>
      <c r="M71" s="10"/>
      <c r="N71" s="10"/>
    </row>
    <row r="72" spans="1:14" x14ac:dyDescent="0.3">
      <c r="A72" s="10"/>
      <c r="B72" s="10"/>
      <c r="C72" s="10"/>
      <c r="D72" s="10"/>
      <c r="E72" s="10"/>
      <c r="F72" s="10"/>
      <c r="G72" s="10"/>
      <c r="H72" s="10"/>
      <c r="I72" s="10"/>
      <c r="J72" s="10"/>
      <c r="K72" s="10"/>
      <c r="L72" s="10"/>
      <c r="M72" s="10"/>
      <c r="N72" s="10"/>
    </row>
    <row r="73" spans="1:14" x14ac:dyDescent="0.3">
      <c r="A73" s="10"/>
      <c r="B73" s="10"/>
      <c r="C73" s="10"/>
      <c r="D73" s="10"/>
      <c r="E73" s="10"/>
      <c r="F73" s="10"/>
      <c r="G73" s="10"/>
      <c r="H73" s="10"/>
      <c r="I73" s="10"/>
      <c r="J73" s="10"/>
      <c r="K73" s="10"/>
      <c r="L73" s="10"/>
      <c r="M73" s="10"/>
      <c r="N73" s="10"/>
    </row>
    <row r="74" spans="1:14" x14ac:dyDescent="0.3">
      <c r="A74" s="10"/>
      <c r="B74" s="10"/>
      <c r="C74" s="10"/>
      <c r="D74" s="10"/>
      <c r="E74" s="10"/>
      <c r="F74" s="10"/>
      <c r="G74" s="10"/>
      <c r="H74" s="10"/>
      <c r="I74" s="10"/>
      <c r="J74" s="10"/>
      <c r="K74" s="10"/>
      <c r="L74" s="10"/>
      <c r="M74" s="10"/>
      <c r="N74" s="10"/>
    </row>
    <row r="75" spans="1:14" x14ac:dyDescent="0.3">
      <c r="A75" s="10"/>
      <c r="B75" s="10"/>
      <c r="C75" s="10"/>
      <c r="D75" s="10"/>
      <c r="E75" s="10"/>
      <c r="F75" s="10"/>
      <c r="G75" s="10"/>
      <c r="H75" s="10"/>
      <c r="I75" s="10"/>
      <c r="J75" s="10"/>
      <c r="K75" s="10"/>
      <c r="L75" s="10"/>
      <c r="M75" s="10"/>
      <c r="N75" s="10"/>
    </row>
  </sheetData>
  <mergeCells count="7">
    <mergeCell ref="D42:E42"/>
    <mergeCell ref="B48:D48"/>
    <mergeCell ref="B2:M2"/>
    <mergeCell ref="B3:M3"/>
    <mergeCell ref="B32:F32"/>
    <mergeCell ref="D34:E34"/>
    <mergeCell ref="B40:M40"/>
  </mergeCells>
  <pageMargins left="0.75" right="0.75" top="1" bottom="1" header="0.511811023622047" footer="0.511811023622047"/>
  <pageSetup paperSize="9" orientation="portrait" horizontalDpi="300" verticalDpi="300"/>
  <drawing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77850C52-B9C6-4FEB-B108-85CB76DA462B}">
          <x14:formula1>
            <xm:f>Aux!$A$2:$A$59</xm:f>
          </x14:formula1>
          <xm:sqref>D34</xm:sqref>
        </x14:dataValidation>
        <x14:dataValidation type="list" allowBlank="1" showInputMessage="1" showErrorMessage="1" xr:uid="{B1EBD1E1-4DCE-4F14-BDF3-B912DBD43DEA}">
          <x14:formula1>
            <xm:f>Aux!$F$2:$F$58</xm:f>
          </x14:formula1>
          <xm:sqref>D42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59"/>
  <sheetViews>
    <sheetView zoomScaleNormal="100" workbookViewId="0"/>
  </sheetViews>
  <sheetFormatPr defaultColWidth="8.6640625" defaultRowHeight="14.4" x14ac:dyDescent="0.3"/>
  <sheetData>
    <row r="1" spans="1:7" x14ac:dyDescent="0.3">
      <c r="A1" t="s">
        <v>29</v>
      </c>
      <c r="B1" t="s">
        <v>99</v>
      </c>
      <c r="C1" t="s">
        <v>100</v>
      </c>
      <c r="D1" t="s">
        <v>101</v>
      </c>
      <c r="E1" t="s">
        <v>102</v>
      </c>
      <c r="F1" t="s">
        <v>103</v>
      </c>
      <c r="G1" t="s">
        <v>99</v>
      </c>
    </row>
    <row r="2" spans="1:7" x14ac:dyDescent="0.3">
      <c r="A2" t="s">
        <v>104</v>
      </c>
      <c r="B2">
        <v>21</v>
      </c>
      <c r="C2" s="35">
        <v>0.1464</v>
      </c>
      <c r="D2" s="35">
        <v>0.14849999999999999</v>
      </c>
      <c r="E2" s="35">
        <v>0.1464</v>
      </c>
      <c r="F2" t="s">
        <v>133</v>
      </c>
      <c r="G2">
        <v>42</v>
      </c>
    </row>
    <row r="3" spans="1:7" x14ac:dyDescent="0.3">
      <c r="A3" t="s">
        <v>30</v>
      </c>
      <c r="B3">
        <v>42</v>
      </c>
      <c r="C3" s="35">
        <v>0.14549999999999996</v>
      </c>
      <c r="D3" s="35">
        <v>0.14739999999999998</v>
      </c>
      <c r="E3" s="35">
        <v>0.14460070655966195</v>
      </c>
      <c r="F3" t="s">
        <v>134</v>
      </c>
      <c r="G3">
        <v>63</v>
      </c>
    </row>
    <row r="4" spans="1:7" x14ac:dyDescent="0.3">
      <c r="A4" t="s">
        <v>105</v>
      </c>
      <c r="B4">
        <v>63</v>
      </c>
      <c r="C4" s="35">
        <v>0.14480000000000026</v>
      </c>
      <c r="D4" s="35">
        <v>0.14600000000000013</v>
      </c>
      <c r="E4" s="35">
        <v>0.14340128302101229</v>
      </c>
      <c r="F4" t="s">
        <v>31</v>
      </c>
      <c r="G4">
        <v>84</v>
      </c>
    </row>
    <row r="5" spans="1:7" x14ac:dyDescent="0.3">
      <c r="A5" t="s">
        <v>32</v>
      </c>
      <c r="B5">
        <v>84</v>
      </c>
      <c r="C5" s="35">
        <v>0.14420000000000011</v>
      </c>
      <c r="D5" s="35">
        <v>0.14400000000000013</v>
      </c>
      <c r="E5" s="35">
        <v>0.14240188613328209</v>
      </c>
      <c r="F5" t="s">
        <v>135</v>
      </c>
      <c r="G5">
        <v>105</v>
      </c>
    </row>
    <row r="6" spans="1:7" x14ac:dyDescent="0.3">
      <c r="A6" t="s">
        <v>106</v>
      </c>
      <c r="B6">
        <v>105</v>
      </c>
      <c r="C6" s="35">
        <v>0.14353987304214288</v>
      </c>
      <c r="D6" s="35">
        <v>0.14201885615191978</v>
      </c>
      <c r="E6" s="35">
        <v>0.14090317150563081</v>
      </c>
      <c r="F6" t="s">
        <v>33</v>
      </c>
      <c r="G6">
        <v>126</v>
      </c>
    </row>
    <row r="7" spans="1:7" x14ac:dyDescent="0.3">
      <c r="A7" t="s">
        <v>34</v>
      </c>
      <c r="B7">
        <v>126</v>
      </c>
      <c r="C7" s="35">
        <v>0.1431</v>
      </c>
      <c r="D7" s="35">
        <v>0.14070000000000027</v>
      </c>
      <c r="E7" s="35">
        <v>0.14090317150563081</v>
      </c>
      <c r="F7" t="s">
        <v>136</v>
      </c>
      <c r="G7">
        <v>147</v>
      </c>
    </row>
    <row r="8" spans="1:7" x14ac:dyDescent="0.3">
      <c r="A8" t="s">
        <v>107</v>
      </c>
      <c r="B8">
        <v>147</v>
      </c>
      <c r="C8" s="35">
        <v>0.14258555994790023</v>
      </c>
      <c r="D8" s="35">
        <v>0.13859741681988269</v>
      </c>
      <c r="E8" s="35">
        <v>0.1395037778744832</v>
      </c>
      <c r="F8" t="s">
        <v>35</v>
      </c>
      <c r="G8">
        <v>168</v>
      </c>
    </row>
    <row r="9" spans="1:7" x14ac:dyDescent="0.3">
      <c r="A9" t="s">
        <v>36</v>
      </c>
      <c r="B9">
        <v>168</v>
      </c>
      <c r="C9" s="35">
        <v>0.14219988184840759</v>
      </c>
      <c r="D9" s="35">
        <v>0.13702302316465964</v>
      </c>
      <c r="E9" s="35">
        <v>0.13950377787448009</v>
      </c>
      <c r="F9" t="s">
        <v>137</v>
      </c>
      <c r="G9">
        <v>189</v>
      </c>
    </row>
    <row r="10" spans="1:7" x14ac:dyDescent="0.3">
      <c r="A10" t="s">
        <v>108</v>
      </c>
      <c r="B10">
        <v>189</v>
      </c>
      <c r="C10" s="35">
        <v>0.14189999999999992</v>
      </c>
      <c r="D10" s="35">
        <v>0.13579999999999992</v>
      </c>
      <c r="E10" s="35">
        <v>0.1395037778744832</v>
      </c>
      <c r="F10" t="s">
        <v>37</v>
      </c>
      <c r="G10">
        <v>210</v>
      </c>
    </row>
    <row r="11" spans="1:7" x14ac:dyDescent="0.3">
      <c r="A11" t="s">
        <v>38</v>
      </c>
      <c r="B11">
        <v>210</v>
      </c>
      <c r="C11" s="35">
        <v>0.14157993271853142</v>
      </c>
      <c r="D11" s="35">
        <v>0.13427847165111406</v>
      </c>
      <c r="E11" s="35">
        <v>0.13870336124600535</v>
      </c>
      <c r="F11" t="s">
        <v>138</v>
      </c>
      <c r="G11">
        <v>231</v>
      </c>
    </row>
    <row r="12" spans="1:7" x14ac:dyDescent="0.3">
      <c r="A12" t="s">
        <v>109</v>
      </c>
      <c r="B12">
        <v>231</v>
      </c>
      <c r="C12" s="35">
        <v>0.14131812621791329</v>
      </c>
      <c r="D12" s="35">
        <v>0.13303510099978988</v>
      </c>
      <c r="E12" s="35">
        <v>0.13870336124600247</v>
      </c>
      <c r="F12" t="s">
        <v>39</v>
      </c>
      <c r="G12">
        <v>252</v>
      </c>
    </row>
    <row r="13" spans="1:7" x14ac:dyDescent="0.3">
      <c r="A13" t="s">
        <v>10</v>
      </c>
      <c r="B13">
        <v>252</v>
      </c>
      <c r="C13" s="35">
        <v>0.1411</v>
      </c>
      <c r="D13" s="35">
        <v>0.13200000000000012</v>
      </c>
      <c r="E13" s="35">
        <v>0.13870336124600247</v>
      </c>
      <c r="F13" t="s">
        <v>139</v>
      </c>
      <c r="G13">
        <v>273</v>
      </c>
    </row>
    <row r="14" spans="1:7" x14ac:dyDescent="0.3">
      <c r="A14" t="s">
        <v>110</v>
      </c>
      <c r="B14">
        <v>273</v>
      </c>
      <c r="C14" s="35">
        <v>0.14077677051319015</v>
      </c>
      <c r="D14" s="35">
        <v>0.13102938308663958</v>
      </c>
      <c r="E14" s="35">
        <v>0.13690515081526899</v>
      </c>
      <c r="F14" t="s">
        <v>40</v>
      </c>
      <c r="G14">
        <v>294</v>
      </c>
    </row>
    <row r="15" spans="1:7" x14ac:dyDescent="0.3">
      <c r="A15" t="s">
        <v>41</v>
      </c>
      <c r="B15">
        <v>294</v>
      </c>
      <c r="C15" s="35">
        <v>0.14049978954135578</v>
      </c>
      <c r="D15" s="35">
        <v>0.13019808815554845</v>
      </c>
      <c r="E15" s="35">
        <v>0.13690515081526589</v>
      </c>
      <c r="F15" t="s">
        <v>140</v>
      </c>
      <c r="G15">
        <v>315</v>
      </c>
    </row>
    <row r="16" spans="1:7" x14ac:dyDescent="0.3">
      <c r="A16" t="s">
        <v>111</v>
      </c>
      <c r="B16">
        <v>315</v>
      </c>
      <c r="C16" s="35">
        <v>0.14025979376499675</v>
      </c>
      <c r="D16" s="35">
        <v>0.12947812679036175</v>
      </c>
      <c r="E16" s="35">
        <v>0.13690515081526899</v>
      </c>
      <c r="F16" t="s">
        <v>42</v>
      </c>
      <c r="G16">
        <v>336</v>
      </c>
    </row>
    <row r="17" spans="1:7" x14ac:dyDescent="0.3">
      <c r="A17" t="s">
        <v>43</v>
      </c>
      <c r="B17">
        <v>336</v>
      </c>
      <c r="C17" s="35">
        <v>0.14004983888879274</v>
      </c>
      <c r="D17" s="35">
        <v>0.12884853682690722</v>
      </c>
      <c r="E17" s="35">
        <v>0.136905150815263</v>
      </c>
      <c r="F17" t="s">
        <v>141</v>
      </c>
      <c r="G17">
        <v>357</v>
      </c>
    </row>
    <row r="18" spans="1:7" x14ac:dyDescent="0.3">
      <c r="A18" t="s">
        <v>112</v>
      </c>
      <c r="B18">
        <v>357</v>
      </c>
      <c r="C18" s="35">
        <v>0.13986461669066741</v>
      </c>
      <c r="D18" s="35">
        <v>0.12829330771863745</v>
      </c>
      <c r="E18" s="35">
        <v>0.13690515081527188</v>
      </c>
      <c r="F18" t="s">
        <v>18</v>
      </c>
      <c r="G18">
        <v>378</v>
      </c>
    </row>
    <row r="19" spans="1:7" x14ac:dyDescent="0.3">
      <c r="A19" t="s">
        <v>44</v>
      </c>
      <c r="B19">
        <v>378</v>
      </c>
      <c r="C19" s="35">
        <v>0.13969999999999994</v>
      </c>
      <c r="D19" s="35">
        <v>0.12779999999999991</v>
      </c>
      <c r="E19" s="35">
        <v>0.13690515081526589</v>
      </c>
      <c r="F19" t="s">
        <v>142</v>
      </c>
      <c r="G19">
        <v>399</v>
      </c>
    </row>
    <row r="20" spans="1:7" x14ac:dyDescent="0.3">
      <c r="A20" t="s">
        <v>113</v>
      </c>
      <c r="B20">
        <v>399</v>
      </c>
      <c r="C20" s="35">
        <v>0.13948940072991234</v>
      </c>
      <c r="D20" s="35">
        <v>0.12748404460231533</v>
      </c>
      <c r="E20" s="35">
        <v>0.13570526146448292</v>
      </c>
      <c r="F20" t="s">
        <v>45</v>
      </c>
      <c r="G20">
        <v>420</v>
      </c>
    </row>
    <row r="21" spans="1:7" x14ac:dyDescent="0.3">
      <c r="A21" t="s">
        <v>46</v>
      </c>
      <c r="B21">
        <v>420</v>
      </c>
      <c r="C21" s="35">
        <v>0.13929989465983406</v>
      </c>
      <c r="D21" s="35">
        <v>0.12719976042588299</v>
      </c>
      <c r="E21" s="35">
        <v>0.13570526146448891</v>
      </c>
      <c r="F21" t="s">
        <v>143</v>
      </c>
      <c r="G21">
        <v>441</v>
      </c>
    </row>
    <row r="22" spans="1:7" x14ac:dyDescent="0.3">
      <c r="A22" t="s">
        <v>114</v>
      </c>
      <c r="B22">
        <v>441</v>
      </c>
      <c r="C22" s="35">
        <v>0.1391284639439978</v>
      </c>
      <c r="D22" s="35">
        <v>0.12694261269806395</v>
      </c>
      <c r="E22" s="35">
        <v>0.13570526146448603</v>
      </c>
      <c r="F22" t="s">
        <v>47</v>
      </c>
      <c r="G22">
        <v>462</v>
      </c>
    </row>
    <row r="23" spans="1:7" x14ac:dyDescent="0.3">
      <c r="A23" t="s">
        <v>48</v>
      </c>
      <c r="B23">
        <v>462</v>
      </c>
      <c r="C23" s="35">
        <v>0.13897264022307509</v>
      </c>
      <c r="D23" s="35">
        <v>0.1267088929426976</v>
      </c>
      <c r="E23" s="35">
        <v>0.13570526146448292</v>
      </c>
      <c r="F23" t="s">
        <v>144</v>
      </c>
      <c r="G23">
        <v>483</v>
      </c>
    </row>
    <row r="24" spans="1:7" x14ac:dyDescent="0.3">
      <c r="A24" t="s">
        <v>115</v>
      </c>
      <c r="B24">
        <v>483</v>
      </c>
      <c r="C24" s="35">
        <v>0.13883038500676093</v>
      </c>
      <c r="D24" s="35">
        <v>0.12649553897721355</v>
      </c>
      <c r="E24" s="35">
        <v>0.13570526146448891</v>
      </c>
      <c r="F24" t="s">
        <v>49</v>
      </c>
      <c r="G24">
        <v>504</v>
      </c>
    </row>
    <row r="25" spans="1:7" x14ac:dyDescent="0.3">
      <c r="A25" t="s">
        <v>50</v>
      </c>
      <c r="B25">
        <v>504</v>
      </c>
      <c r="C25" s="35">
        <v>0.13870000000000005</v>
      </c>
      <c r="D25" s="35">
        <v>0.12630000000000008</v>
      </c>
      <c r="E25" s="35">
        <v>0.13570526146448603</v>
      </c>
      <c r="F25" t="s">
        <v>145</v>
      </c>
      <c r="G25">
        <v>525</v>
      </c>
    </row>
    <row r="26" spans="1:7" x14ac:dyDescent="0.3">
      <c r="A26" t="s">
        <v>116</v>
      </c>
      <c r="B26">
        <v>525</v>
      </c>
      <c r="C26" s="35">
        <v>0.13870000000000005</v>
      </c>
      <c r="D26" s="35">
        <v>0.12633999715914146</v>
      </c>
      <c r="E26" s="35">
        <v>0.13869999999999916</v>
      </c>
      <c r="F26" t="s">
        <v>51</v>
      </c>
      <c r="G26">
        <v>546</v>
      </c>
    </row>
    <row r="27" spans="1:7" x14ac:dyDescent="0.3">
      <c r="A27" t="s">
        <v>52</v>
      </c>
      <c r="B27">
        <v>546</v>
      </c>
      <c r="C27" s="35">
        <v>0.13870000000000005</v>
      </c>
      <c r="D27" s="35">
        <v>0.12637691887442348</v>
      </c>
      <c r="E27" s="35">
        <v>0.13869999999999916</v>
      </c>
      <c r="F27" t="s">
        <v>146</v>
      </c>
      <c r="G27">
        <v>567</v>
      </c>
    </row>
    <row r="28" spans="1:7" x14ac:dyDescent="0.3">
      <c r="A28" t="s">
        <v>117</v>
      </c>
      <c r="B28">
        <v>567</v>
      </c>
      <c r="C28" s="35">
        <v>0.13870000000000005</v>
      </c>
      <c r="D28" s="35">
        <v>0.12641110672697775</v>
      </c>
      <c r="E28" s="35">
        <v>0.13869999999999916</v>
      </c>
      <c r="F28" t="s">
        <v>53</v>
      </c>
      <c r="G28">
        <v>588</v>
      </c>
    </row>
    <row r="29" spans="1:7" x14ac:dyDescent="0.3">
      <c r="A29" t="s">
        <v>54</v>
      </c>
      <c r="B29">
        <v>588</v>
      </c>
      <c r="C29" s="35">
        <v>0.13870000000000005</v>
      </c>
      <c r="D29" s="35">
        <v>0.12644285351920281</v>
      </c>
      <c r="E29" s="35">
        <v>0.13869999999999916</v>
      </c>
      <c r="F29" t="s">
        <v>147</v>
      </c>
      <c r="G29">
        <v>609</v>
      </c>
    </row>
    <row r="30" spans="1:7" x14ac:dyDescent="0.3">
      <c r="A30" t="s">
        <v>118</v>
      </c>
      <c r="B30">
        <v>609</v>
      </c>
      <c r="C30" s="35">
        <v>0.13870000000000005</v>
      </c>
      <c r="D30" s="35">
        <v>0.12647241168180012</v>
      </c>
      <c r="E30" s="35">
        <v>0.13869999999999916</v>
      </c>
      <c r="F30" t="s">
        <v>55</v>
      </c>
      <c r="G30">
        <v>630</v>
      </c>
    </row>
    <row r="31" spans="1:7" x14ac:dyDescent="0.3">
      <c r="A31" t="s">
        <v>56</v>
      </c>
      <c r="B31">
        <v>630</v>
      </c>
      <c r="C31">
        <v>0.13870000000000005</v>
      </c>
      <c r="D31">
        <v>0.12650000000000006</v>
      </c>
      <c r="E31">
        <v>0.13870000000000227</v>
      </c>
      <c r="F31" t="s">
        <v>148</v>
      </c>
      <c r="G31">
        <v>651</v>
      </c>
    </row>
    <row r="32" spans="1:7" x14ac:dyDescent="0.3">
      <c r="A32" t="s">
        <v>119</v>
      </c>
      <c r="B32">
        <v>651</v>
      </c>
      <c r="C32">
        <v>0.13875805834872823</v>
      </c>
      <c r="D32">
        <v>0.12665479438955107</v>
      </c>
      <c r="E32">
        <v>0.14050118597902617</v>
      </c>
      <c r="F32" t="s">
        <v>57</v>
      </c>
      <c r="G32">
        <v>672</v>
      </c>
    </row>
    <row r="33" spans="1:7" x14ac:dyDescent="0.3">
      <c r="A33" t="s">
        <v>58</v>
      </c>
      <c r="B33">
        <v>672</v>
      </c>
      <c r="C33">
        <v>0.13881249073911461</v>
      </c>
      <c r="D33">
        <v>0.12679993344770257</v>
      </c>
      <c r="E33">
        <v>0.14050118597902617</v>
      </c>
      <c r="F33" t="s">
        <v>149</v>
      </c>
      <c r="G33">
        <v>693</v>
      </c>
    </row>
    <row r="34" spans="1:7" x14ac:dyDescent="0.3">
      <c r="A34" t="s">
        <v>120</v>
      </c>
      <c r="B34">
        <v>693</v>
      </c>
      <c r="C34">
        <v>0.13886362656685058</v>
      </c>
      <c r="D34">
        <v>0.12693629323109357</v>
      </c>
      <c r="E34">
        <v>0.14050118597902617</v>
      </c>
      <c r="F34" t="s">
        <v>59</v>
      </c>
      <c r="G34">
        <v>714</v>
      </c>
    </row>
    <row r="35" spans="1:7" x14ac:dyDescent="0.3">
      <c r="A35" t="s">
        <v>60</v>
      </c>
      <c r="B35">
        <v>714</v>
      </c>
      <c r="C35">
        <v>0.13891175650222998</v>
      </c>
      <c r="D35">
        <v>0.12706464692483666</v>
      </c>
      <c r="E35">
        <v>0.14050118597902905</v>
      </c>
      <c r="F35" t="s">
        <v>150</v>
      </c>
      <c r="G35">
        <v>735</v>
      </c>
    </row>
    <row r="36" spans="1:7" x14ac:dyDescent="0.3">
      <c r="A36" t="s">
        <v>121</v>
      </c>
      <c r="B36">
        <v>735</v>
      </c>
      <c r="C36">
        <v>0.13895713801859788</v>
      </c>
      <c r="D36">
        <v>0.12718567951156712</v>
      </c>
      <c r="E36">
        <v>0.14050118597902617</v>
      </c>
      <c r="F36" t="s">
        <v>61</v>
      </c>
      <c r="G36">
        <v>756</v>
      </c>
    </row>
    <row r="37" spans="1:7" x14ac:dyDescent="0.3">
      <c r="A37" t="s">
        <v>62</v>
      </c>
      <c r="B37">
        <v>756</v>
      </c>
      <c r="C37">
        <v>0.13900000000000001</v>
      </c>
      <c r="D37">
        <v>0.12729999999999997</v>
      </c>
      <c r="E37">
        <v>0.14050118597902905</v>
      </c>
      <c r="F37" t="s">
        <v>151</v>
      </c>
      <c r="G37">
        <v>777</v>
      </c>
    </row>
    <row r="38" spans="1:7" x14ac:dyDescent="0.3">
      <c r="A38" t="s">
        <v>122</v>
      </c>
      <c r="B38">
        <v>777</v>
      </c>
      <c r="C38">
        <v>0.1390567506972733</v>
      </c>
      <c r="D38">
        <v>0.12750802583156795</v>
      </c>
      <c r="E38">
        <v>0.14110166007892189</v>
      </c>
      <c r="F38" t="s">
        <v>63</v>
      </c>
      <c r="G38">
        <v>798</v>
      </c>
    </row>
    <row r="39" spans="1:7" x14ac:dyDescent="0.3">
      <c r="A39" t="s">
        <v>64</v>
      </c>
      <c r="B39">
        <v>798</v>
      </c>
      <c r="C39">
        <v>0.13911051712402966</v>
      </c>
      <c r="D39">
        <v>0.12770513834554387</v>
      </c>
      <c r="E39">
        <v>0.14110166007892788</v>
      </c>
      <c r="F39" t="s">
        <v>152</v>
      </c>
      <c r="G39">
        <v>819</v>
      </c>
    </row>
    <row r="40" spans="1:7" x14ac:dyDescent="0.3">
      <c r="A40" t="s">
        <v>123</v>
      </c>
      <c r="B40">
        <v>819</v>
      </c>
      <c r="C40">
        <v>0.13916152864415721</v>
      </c>
      <c r="D40">
        <v>0.12789217437943945</v>
      </c>
      <c r="E40">
        <v>0.141101660078919</v>
      </c>
      <c r="F40" t="s">
        <v>65</v>
      </c>
      <c r="G40">
        <v>840</v>
      </c>
    </row>
    <row r="41" spans="1:7" x14ac:dyDescent="0.3">
      <c r="A41" t="s">
        <v>66</v>
      </c>
      <c r="B41">
        <v>840</v>
      </c>
      <c r="C41">
        <v>0.13920999170419512</v>
      </c>
      <c r="D41">
        <v>0.12806988734470992</v>
      </c>
      <c r="E41">
        <v>0.14110166007892189</v>
      </c>
      <c r="F41" t="s">
        <v>153</v>
      </c>
      <c r="G41">
        <v>861</v>
      </c>
    </row>
    <row r="42" spans="1:7" x14ac:dyDescent="0.3">
      <c r="A42" t="s">
        <v>124</v>
      </c>
      <c r="B42">
        <v>861</v>
      </c>
      <c r="C42">
        <v>0.13925609262586747</v>
      </c>
      <c r="D42">
        <v>0.12823895737006663</v>
      </c>
      <c r="E42">
        <v>0.141101660078925</v>
      </c>
      <c r="F42" t="s">
        <v>67</v>
      </c>
      <c r="G42">
        <v>882</v>
      </c>
    </row>
    <row r="43" spans="1:7" x14ac:dyDescent="0.3">
      <c r="A43" t="s">
        <v>68</v>
      </c>
      <c r="B43">
        <v>882</v>
      </c>
      <c r="C43">
        <v>0.13929999999999998</v>
      </c>
      <c r="D43">
        <v>0.12840000000000007</v>
      </c>
      <c r="E43">
        <v>0.141101660078925</v>
      </c>
      <c r="F43" t="s">
        <v>154</v>
      </c>
      <c r="G43">
        <v>903</v>
      </c>
    </row>
    <row r="44" spans="1:7" x14ac:dyDescent="0.3">
      <c r="A44" t="s">
        <v>125</v>
      </c>
      <c r="B44">
        <v>903</v>
      </c>
      <c r="C44">
        <v>0.13933720664425242</v>
      </c>
      <c r="D44">
        <v>0.12860457001858205</v>
      </c>
      <c r="E44">
        <v>0.14090098340499435</v>
      </c>
      <c r="F44" t="s">
        <v>69</v>
      </c>
      <c r="G44">
        <v>924</v>
      </c>
    </row>
    <row r="45" spans="1:7" x14ac:dyDescent="0.3">
      <c r="A45" t="s">
        <v>70</v>
      </c>
      <c r="B45">
        <v>924</v>
      </c>
      <c r="C45">
        <v>0.13937272321088567</v>
      </c>
      <c r="D45">
        <v>0.12879987599644971</v>
      </c>
      <c r="E45">
        <v>0.14090098340499435</v>
      </c>
      <c r="F45" t="s">
        <v>155</v>
      </c>
      <c r="G45">
        <v>945</v>
      </c>
    </row>
    <row r="46" spans="1:7" x14ac:dyDescent="0.3">
      <c r="A46" t="s">
        <v>126</v>
      </c>
      <c r="B46">
        <v>945</v>
      </c>
      <c r="C46">
        <v>0.13940666229788712</v>
      </c>
      <c r="D46">
        <v>0.12898653328660825</v>
      </c>
      <c r="E46">
        <v>0.14090098340500057</v>
      </c>
      <c r="F46" t="s">
        <v>71</v>
      </c>
      <c r="G46">
        <v>966</v>
      </c>
    </row>
    <row r="47" spans="1:7" x14ac:dyDescent="0.3">
      <c r="A47" t="s">
        <v>72</v>
      </c>
      <c r="B47">
        <v>966</v>
      </c>
      <c r="C47">
        <v>0.13943912671839409</v>
      </c>
      <c r="D47">
        <v>0.12916510392402514</v>
      </c>
      <c r="E47">
        <v>0.14090098340498836</v>
      </c>
      <c r="F47" t="s">
        <v>156</v>
      </c>
      <c r="G47">
        <v>987</v>
      </c>
    </row>
    <row r="48" spans="1:7" x14ac:dyDescent="0.3">
      <c r="A48" t="s">
        <v>127</v>
      </c>
      <c r="B48">
        <v>987</v>
      </c>
      <c r="C48">
        <v>0.13947021054098308</v>
      </c>
      <c r="D48">
        <v>0.12933610227793046</v>
      </c>
      <c r="E48">
        <v>0.14090098340499746</v>
      </c>
      <c r="F48" t="s">
        <v>73</v>
      </c>
      <c r="G48">
        <v>1008</v>
      </c>
    </row>
    <row r="49" spans="1:7" x14ac:dyDescent="0.3">
      <c r="A49" t="s">
        <v>74</v>
      </c>
      <c r="B49">
        <v>1008</v>
      </c>
      <c r="C49">
        <v>0.13949999999999996</v>
      </c>
      <c r="D49">
        <v>0.12949999999999995</v>
      </c>
      <c r="E49">
        <v>0.14090098340499146</v>
      </c>
      <c r="F49" t="s">
        <v>157</v>
      </c>
      <c r="G49">
        <v>1029</v>
      </c>
    </row>
    <row r="50" spans="1:7" x14ac:dyDescent="0.3">
      <c r="A50" t="s">
        <v>128</v>
      </c>
      <c r="B50">
        <v>1029</v>
      </c>
      <c r="C50">
        <v>0.13955509612057626</v>
      </c>
      <c r="D50">
        <v>0.1296652523859112</v>
      </c>
      <c r="E50">
        <v>0.14220284509971637</v>
      </c>
      <c r="F50" t="s">
        <v>75</v>
      </c>
      <c r="G50">
        <v>1050</v>
      </c>
    </row>
    <row r="51" spans="1:7" x14ac:dyDescent="0.3">
      <c r="A51" t="s">
        <v>76</v>
      </c>
      <c r="B51">
        <v>1050</v>
      </c>
      <c r="C51">
        <v>0.1396079909025818</v>
      </c>
      <c r="D51">
        <v>0.12982391742242094</v>
      </c>
      <c r="E51">
        <v>0.14220284509973147</v>
      </c>
      <c r="F51" t="s">
        <v>158</v>
      </c>
      <c r="G51">
        <v>1071</v>
      </c>
    </row>
    <row r="52" spans="1:7" x14ac:dyDescent="0.3">
      <c r="A52" t="s">
        <v>129</v>
      </c>
      <c r="B52">
        <v>1071</v>
      </c>
      <c r="C52">
        <v>0.13965881369209177</v>
      </c>
      <c r="D52">
        <v>0.12997638129185418</v>
      </c>
      <c r="E52">
        <v>0.14220284509971348</v>
      </c>
      <c r="F52" t="s">
        <v>77</v>
      </c>
      <c r="G52">
        <v>1092</v>
      </c>
    </row>
    <row r="53" spans="1:7" x14ac:dyDescent="0.3">
      <c r="A53" t="s">
        <v>78</v>
      </c>
      <c r="B53">
        <v>1092</v>
      </c>
      <c r="C53">
        <v>0.13970768389637245</v>
      </c>
      <c r="D53">
        <v>0.13012300056872683</v>
      </c>
      <c r="E53">
        <v>0.14220284509972236</v>
      </c>
      <c r="F53" t="s">
        <v>159</v>
      </c>
      <c r="G53">
        <v>1113</v>
      </c>
    </row>
    <row r="54" spans="1:7" x14ac:dyDescent="0.3">
      <c r="A54" t="s">
        <v>130</v>
      </c>
      <c r="B54">
        <v>1113</v>
      </c>
      <c r="C54">
        <v>0.13975471192049627</v>
      </c>
      <c r="D54">
        <v>0.13026410500383712</v>
      </c>
      <c r="E54">
        <v>0.14220284509972547</v>
      </c>
      <c r="F54" t="s">
        <v>79</v>
      </c>
      <c r="G54">
        <v>1134</v>
      </c>
    </row>
    <row r="55" spans="1:7" x14ac:dyDescent="0.3">
      <c r="A55" t="s">
        <v>80</v>
      </c>
      <c r="B55">
        <v>1134</v>
      </c>
      <c r="C55">
        <v>0.13979999999999992</v>
      </c>
      <c r="D55">
        <v>0.13040000000000007</v>
      </c>
      <c r="E55">
        <v>0.14220284509971948</v>
      </c>
      <c r="F55" t="s">
        <v>160</v>
      </c>
      <c r="G55">
        <v>1155</v>
      </c>
    </row>
    <row r="56" spans="1:7" x14ac:dyDescent="0.3">
      <c r="A56" t="s">
        <v>131</v>
      </c>
      <c r="B56">
        <v>1155</v>
      </c>
      <c r="C56">
        <v>0.1398545395823334</v>
      </c>
      <c r="D56">
        <v>0.13056358309145089</v>
      </c>
      <c r="E56">
        <v>0.14280355575005643</v>
      </c>
      <c r="F56" t="s">
        <v>81</v>
      </c>
      <c r="G56">
        <v>1176</v>
      </c>
    </row>
    <row r="57" spans="1:7" x14ac:dyDescent="0.3">
      <c r="A57" t="s">
        <v>82</v>
      </c>
      <c r="B57">
        <v>1176</v>
      </c>
      <c r="C57">
        <v>0.1399071337940232</v>
      </c>
      <c r="D57">
        <v>0.13072134634905286</v>
      </c>
      <c r="E57">
        <v>0.14280355575005954</v>
      </c>
      <c r="F57" t="s">
        <v>161</v>
      </c>
      <c r="G57">
        <v>1197</v>
      </c>
    </row>
    <row r="58" spans="1:7" x14ac:dyDescent="0.3">
      <c r="A58" t="s">
        <v>132</v>
      </c>
      <c r="B58">
        <v>1197</v>
      </c>
      <c r="C58">
        <v>0.13995788489530292</v>
      </c>
      <c r="D58">
        <v>0.13087359492349626</v>
      </c>
      <c r="E58">
        <v>0.14280355575005355</v>
      </c>
      <c r="F58" t="s">
        <v>83</v>
      </c>
      <c r="G58">
        <v>1218</v>
      </c>
    </row>
    <row r="59" spans="1:7" x14ac:dyDescent="0.3">
      <c r="A59" t="s">
        <v>84</v>
      </c>
      <c r="B59">
        <v>1218</v>
      </c>
      <c r="C59">
        <v>0.14000688810262418</v>
      </c>
      <c r="D59">
        <v>0.13102061299877632</v>
      </c>
      <c r="E59">
        <v>0.14280355575005954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3A5BA0"/>
  </sheetPr>
  <dimension ref="A1:J67"/>
  <sheetViews>
    <sheetView showGridLines="0" zoomScaleNormal="100" workbookViewId="0"/>
  </sheetViews>
  <sheetFormatPr defaultColWidth="8.6640625" defaultRowHeight="14.4" x14ac:dyDescent="0.3"/>
  <cols>
    <col min="1" max="1" width="3" customWidth="1"/>
    <col min="2" max="2" width="12.77734375" customWidth="1"/>
    <col min="3" max="3" width="24.77734375" customWidth="1"/>
    <col min="4" max="4" width="26.77734375" customWidth="1"/>
    <col min="5" max="5" width="20.77734375" customWidth="1"/>
    <col min="6" max="6" width="14.77734375" customWidth="1"/>
    <col min="7" max="7" width="24.77734375" customWidth="1"/>
    <col min="8" max="8" width="52.77734375" customWidth="1"/>
  </cols>
  <sheetData>
    <row r="1" spans="1:10" x14ac:dyDescent="0.3">
      <c r="A1" s="10"/>
      <c r="B1" s="10"/>
      <c r="C1" s="10"/>
      <c r="D1" s="10"/>
      <c r="E1" s="10"/>
      <c r="F1" s="10"/>
      <c r="G1" s="10"/>
      <c r="H1" s="10"/>
      <c r="I1" s="10"/>
      <c r="J1" s="10"/>
    </row>
    <row r="2" spans="1:10" ht="22.8" x14ac:dyDescent="0.3">
      <c r="A2" s="10"/>
      <c r="B2" s="9" t="s">
        <v>85</v>
      </c>
      <c r="C2" s="9"/>
      <c r="D2" s="9"/>
      <c r="E2" s="9"/>
      <c r="F2" s="9"/>
      <c r="G2" s="9"/>
      <c r="H2" s="10"/>
      <c r="I2" s="10"/>
      <c r="J2" s="10"/>
    </row>
    <row r="3" spans="1:10" ht="409.6" x14ac:dyDescent="0.3">
      <c r="A3" s="10"/>
      <c r="B3" s="2" t="s">
        <v>168</v>
      </c>
      <c r="C3" s="2"/>
      <c r="D3" s="2"/>
      <c r="E3" s="2"/>
      <c r="F3" s="2"/>
      <c r="G3" s="2"/>
      <c r="H3" s="46" t="s">
        <v>173</v>
      </c>
      <c r="I3" s="10"/>
      <c r="J3" s="10"/>
    </row>
    <row r="4" spans="1:10" x14ac:dyDescent="0.3">
      <c r="A4" s="10"/>
      <c r="B4" s="10"/>
      <c r="C4" s="10"/>
      <c r="D4" s="10"/>
      <c r="E4" s="10"/>
      <c r="F4" s="10"/>
      <c r="G4" s="10"/>
      <c r="H4" s="10"/>
      <c r="I4" s="10"/>
      <c r="J4" s="10"/>
    </row>
    <row r="5" spans="1:10" x14ac:dyDescent="0.3">
      <c r="A5" s="10"/>
      <c r="B5" s="36" t="s">
        <v>99</v>
      </c>
      <c r="C5" s="36" t="s">
        <v>169</v>
      </c>
      <c r="D5" s="36" t="s">
        <v>170</v>
      </c>
      <c r="E5" s="36" t="s">
        <v>171</v>
      </c>
      <c r="F5" s="36" t="s">
        <v>87</v>
      </c>
      <c r="G5" s="36" t="s">
        <v>172</v>
      </c>
      <c r="H5" s="10"/>
      <c r="I5" s="10"/>
      <c r="J5" s="10"/>
    </row>
    <row r="6" spans="1:10" x14ac:dyDescent="0.3">
      <c r="A6" s="10"/>
      <c r="B6" s="47">
        <v>21</v>
      </c>
      <c r="C6" s="62">
        <v>0.1464</v>
      </c>
      <c r="D6" s="53">
        <v>0.1464</v>
      </c>
      <c r="E6" s="56">
        <v>0.98867902029010601</v>
      </c>
      <c r="F6" s="63" t="s">
        <v>88</v>
      </c>
      <c r="G6" s="50">
        <v>0.14849999999999999</v>
      </c>
      <c r="H6" s="10"/>
      <c r="I6" s="10"/>
      <c r="J6" s="10"/>
    </row>
    <row r="7" spans="1:10" x14ac:dyDescent="0.3">
      <c r="A7" s="10"/>
      <c r="B7" s="47">
        <v>42</v>
      </c>
      <c r="C7" s="62">
        <v>0.14549999999999996</v>
      </c>
      <c r="D7" s="53">
        <v>0.14460070655966195</v>
      </c>
      <c r="E7" s="56">
        <v>0.97761416234570453</v>
      </c>
      <c r="F7" s="63" t="s">
        <v>88</v>
      </c>
      <c r="G7" s="50">
        <v>0.14739999999999998</v>
      </c>
      <c r="H7" s="10"/>
      <c r="I7" s="10"/>
      <c r="J7" s="10"/>
    </row>
    <row r="8" spans="1:10" x14ac:dyDescent="0.3">
      <c r="A8" s="10"/>
      <c r="B8" s="47">
        <v>63</v>
      </c>
      <c r="C8" s="62">
        <v>0.14480000000000026</v>
      </c>
      <c r="D8" s="53">
        <v>0.14340128302101229</v>
      </c>
      <c r="E8" s="56">
        <v>0.96675759982535114</v>
      </c>
      <c r="F8" s="63" t="s">
        <v>88</v>
      </c>
      <c r="G8" s="50">
        <v>0.14600000000000013</v>
      </c>
      <c r="H8" s="10"/>
      <c r="I8" s="10"/>
      <c r="J8" s="10"/>
    </row>
    <row r="9" spans="1:10" x14ac:dyDescent="0.3">
      <c r="A9" s="10"/>
      <c r="B9" s="47">
        <v>84</v>
      </c>
      <c r="C9" s="62">
        <v>0.14420000000000011</v>
      </c>
      <c r="D9" s="53">
        <v>0.14240188613328209</v>
      </c>
      <c r="E9" s="56">
        <v>0.95609126887727458</v>
      </c>
      <c r="F9" s="63" t="s">
        <v>88</v>
      </c>
      <c r="G9" s="50">
        <v>0.14400000000000013</v>
      </c>
      <c r="H9" s="10"/>
      <c r="I9" s="10"/>
      <c r="J9" s="10"/>
    </row>
    <row r="10" spans="1:10" x14ac:dyDescent="0.3">
      <c r="A10" s="10"/>
      <c r="B10" s="47">
        <v>105</v>
      </c>
      <c r="C10" s="50">
        <v>0.14353987304214288</v>
      </c>
      <c r="D10" s="53">
        <v>0.14090317150563081</v>
      </c>
      <c r="E10" s="56">
        <v>0.94564606540430307</v>
      </c>
      <c r="F10" s="59" t="s">
        <v>89</v>
      </c>
      <c r="G10" s="50">
        <v>0.14201885615191978</v>
      </c>
      <c r="H10" s="10"/>
      <c r="I10" s="10"/>
      <c r="J10" s="10"/>
    </row>
    <row r="11" spans="1:10" x14ac:dyDescent="0.3">
      <c r="A11" s="10"/>
      <c r="B11" s="47">
        <v>126</v>
      </c>
      <c r="C11" s="62">
        <v>0.1431</v>
      </c>
      <c r="D11" s="53">
        <v>0.14090317150563081</v>
      </c>
      <c r="E11" s="56">
        <v>0.93531497475627123</v>
      </c>
      <c r="F11" s="63" t="s">
        <v>88</v>
      </c>
      <c r="G11" s="50">
        <v>0.14070000000000027</v>
      </c>
      <c r="H11" s="10"/>
      <c r="I11" s="10"/>
      <c r="J11" s="10"/>
    </row>
    <row r="12" spans="1:10" x14ac:dyDescent="0.3">
      <c r="A12" s="10"/>
      <c r="B12" s="47">
        <v>147</v>
      </c>
      <c r="C12" s="50">
        <v>0.14258555994790023</v>
      </c>
      <c r="D12" s="53">
        <v>0.1395037778744832</v>
      </c>
      <c r="E12" s="56">
        <v>0.92519137086355985</v>
      </c>
      <c r="F12" s="59" t="s">
        <v>89</v>
      </c>
      <c r="G12" s="50">
        <v>0.13859741681988269</v>
      </c>
      <c r="H12" s="10"/>
      <c r="I12" s="10"/>
      <c r="J12" s="10"/>
    </row>
    <row r="13" spans="1:10" x14ac:dyDescent="0.3">
      <c r="A13" s="10"/>
      <c r="B13" s="47">
        <v>168</v>
      </c>
      <c r="C13" s="50">
        <v>0.14219988184840759</v>
      </c>
      <c r="D13" s="53">
        <v>0.13950377787448009</v>
      </c>
      <c r="E13" s="56">
        <v>0.91517734220330238</v>
      </c>
      <c r="F13" s="59" t="s">
        <v>89</v>
      </c>
      <c r="G13" s="50">
        <v>0.13702302316465964</v>
      </c>
      <c r="H13" s="10"/>
      <c r="I13" s="10"/>
      <c r="J13" s="10"/>
    </row>
    <row r="14" spans="1:10" x14ac:dyDescent="0.3">
      <c r="A14" s="10"/>
      <c r="B14" s="47">
        <v>189</v>
      </c>
      <c r="C14" s="62">
        <v>0.14189999999999992</v>
      </c>
      <c r="D14" s="53">
        <v>0.1395037778744832</v>
      </c>
      <c r="E14" s="56">
        <v>0.90527170276193125</v>
      </c>
      <c r="F14" s="63" t="s">
        <v>88</v>
      </c>
      <c r="G14" s="50">
        <v>0.13579999999999992</v>
      </c>
      <c r="H14" s="10"/>
      <c r="I14" s="10"/>
      <c r="J14" s="10"/>
    </row>
    <row r="15" spans="1:10" x14ac:dyDescent="0.3">
      <c r="A15" s="10"/>
      <c r="B15" s="47">
        <v>210</v>
      </c>
      <c r="C15" s="50">
        <v>0.14157993271853142</v>
      </c>
      <c r="D15" s="53">
        <v>0.13870336124600535</v>
      </c>
      <c r="E15" s="56">
        <v>0.89552571626287147</v>
      </c>
      <c r="F15" s="59" t="s">
        <v>89</v>
      </c>
      <c r="G15" s="50">
        <v>0.13427847165111406</v>
      </c>
      <c r="H15" s="10"/>
      <c r="I15" s="10"/>
      <c r="J15" s="10"/>
    </row>
    <row r="16" spans="1:10" x14ac:dyDescent="0.3">
      <c r="A16" s="10"/>
      <c r="B16" s="47">
        <v>231</v>
      </c>
      <c r="C16" s="50">
        <v>0.14131812621791329</v>
      </c>
      <c r="D16" s="53">
        <v>0.13870336124600247</v>
      </c>
      <c r="E16" s="56">
        <v>0.8858846532387753</v>
      </c>
      <c r="F16" s="59" t="s">
        <v>89</v>
      </c>
      <c r="G16" s="50">
        <v>0.13303510099978988</v>
      </c>
      <c r="H16" s="10"/>
      <c r="I16" s="10"/>
      <c r="J16" s="10"/>
    </row>
    <row r="17" spans="1:10" x14ac:dyDescent="0.3">
      <c r="A17" s="10"/>
      <c r="B17" s="47">
        <v>252</v>
      </c>
      <c r="C17" s="62">
        <v>0.1411</v>
      </c>
      <c r="D17" s="53">
        <v>0.13870336124600247</v>
      </c>
      <c r="E17" s="56">
        <v>0.87634738410305846</v>
      </c>
      <c r="F17" s="63" t="s">
        <v>88</v>
      </c>
      <c r="G17" s="50">
        <v>0.13200000000000012</v>
      </c>
      <c r="H17" s="10"/>
      <c r="I17" s="10"/>
      <c r="J17" s="10"/>
    </row>
    <row r="18" spans="1:10" x14ac:dyDescent="0.3">
      <c r="A18" s="10"/>
      <c r="B18" s="47">
        <v>273</v>
      </c>
      <c r="C18" s="50">
        <v>0.14077677051319015</v>
      </c>
      <c r="D18" s="53">
        <v>0.13690515081526899</v>
      </c>
      <c r="E18" s="56">
        <v>0.86702697294819042</v>
      </c>
      <c r="F18" s="59" t="s">
        <v>89</v>
      </c>
      <c r="G18" s="50">
        <v>0.13102938308663958</v>
      </c>
      <c r="H18" s="10"/>
      <c r="I18" s="10"/>
      <c r="J18" s="10"/>
    </row>
    <row r="19" spans="1:10" x14ac:dyDescent="0.3">
      <c r="A19" s="10"/>
      <c r="B19" s="47">
        <v>294</v>
      </c>
      <c r="C19" s="50">
        <v>0.14049978954135578</v>
      </c>
      <c r="D19" s="53">
        <v>0.13690515081526589</v>
      </c>
      <c r="E19" s="56">
        <v>0.85780568922346234</v>
      </c>
      <c r="F19" s="59" t="s">
        <v>89</v>
      </c>
      <c r="G19" s="50">
        <v>0.13019808815554845</v>
      </c>
      <c r="H19" s="10"/>
      <c r="I19" s="10"/>
      <c r="J19" s="10"/>
    </row>
    <row r="20" spans="1:10" x14ac:dyDescent="0.3">
      <c r="A20" s="10"/>
      <c r="B20" s="47">
        <v>315</v>
      </c>
      <c r="C20" s="50">
        <v>0.14025979376499675</v>
      </c>
      <c r="D20" s="53">
        <v>0.13690515081526899</v>
      </c>
      <c r="E20" s="56">
        <v>0.84868247865699198</v>
      </c>
      <c r="F20" s="59" t="s">
        <v>89</v>
      </c>
      <c r="G20" s="50">
        <v>0.12947812679036175</v>
      </c>
      <c r="H20" s="10"/>
      <c r="I20" s="10"/>
      <c r="J20" s="10"/>
    </row>
    <row r="21" spans="1:10" x14ac:dyDescent="0.3">
      <c r="A21" s="10"/>
      <c r="B21" s="47">
        <v>336</v>
      </c>
      <c r="C21" s="50">
        <v>0.14004983888879274</v>
      </c>
      <c r="D21" s="53">
        <v>0.136905150815263</v>
      </c>
      <c r="E21" s="56">
        <v>0.83965629818962939</v>
      </c>
      <c r="F21" s="59" t="s">
        <v>89</v>
      </c>
      <c r="G21" s="50">
        <v>0.12884853682690722</v>
      </c>
      <c r="H21" s="10"/>
      <c r="I21" s="10"/>
      <c r="J21" s="10"/>
    </row>
    <row r="22" spans="1:10" x14ac:dyDescent="0.3">
      <c r="A22" s="10"/>
      <c r="B22" s="47">
        <v>357</v>
      </c>
      <c r="C22" s="50">
        <v>0.13986461669066741</v>
      </c>
      <c r="D22" s="53">
        <v>0.13690515081527188</v>
      </c>
      <c r="E22" s="56">
        <v>0.83072611585570033</v>
      </c>
      <c r="F22" s="59" t="s">
        <v>89</v>
      </c>
      <c r="G22" s="50">
        <v>0.12829330771863745</v>
      </c>
      <c r="H22" s="10"/>
      <c r="I22" s="10"/>
      <c r="J22" s="10"/>
    </row>
    <row r="23" spans="1:10" x14ac:dyDescent="0.3">
      <c r="A23" s="10"/>
      <c r="B23" s="47">
        <v>378</v>
      </c>
      <c r="C23" s="62">
        <v>0.13969999999999994</v>
      </c>
      <c r="D23" s="53">
        <v>0.13690515081526589</v>
      </c>
      <c r="E23" s="56">
        <v>0.82189091066502562</v>
      </c>
      <c r="F23" s="63" t="s">
        <v>88</v>
      </c>
      <c r="G23" s="50">
        <v>0.12779999999999991</v>
      </c>
      <c r="H23" s="10"/>
      <c r="I23" s="10"/>
      <c r="J23" s="10"/>
    </row>
    <row r="24" spans="1:10" x14ac:dyDescent="0.3">
      <c r="A24" s="10"/>
      <c r="B24" s="47">
        <v>399</v>
      </c>
      <c r="C24" s="50">
        <v>0.13948940072991234</v>
      </c>
      <c r="D24" s="53">
        <v>0.13570526146448292</v>
      </c>
      <c r="E24" s="56">
        <v>0.81322122989346501</v>
      </c>
      <c r="F24" s="59" t="s">
        <v>89</v>
      </c>
      <c r="G24" s="50">
        <v>0.12748404460231533</v>
      </c>
      <c r="H24" s="10"/>
      <c r="I24" s="10"/>
      <c r="J24" s="10"/>
    </row>
    <row r="25" spans="1:10" x14ac:dyDescent="0.3">
      <c r="A25" s="10"/>
      <c r="B25" s="47">
        <v>420</v>
      </c>
      <c r="C25" s="50">
        <v>0.13929989465983406</v>
      </c>
      <c r="D25" s="53">
        <v>0.13570526146448891</v>
      </c>
      <c r="E25" s="56">
        <v>0.8046430008750568</v>
      </c>
      <c r="F25" s="59" t="s">
        <v>89</v>
      </c>
      <c r="G25" s="50">
        <v>0.12719976042588299</v>
      </c>
      <c r="H25" s="10"/>
      <c r="I25" s="10"/>
      <c r="J25" s="10"/>
    </row>
    <row r="26" spans="1:10" x14ac:dyDescent="0.3">
      <c r="A26" s="10"/>
      <c r="B26" s="47">
        <v>441</v>
      </c>
      <c r="C26" s="50">
        <v>0.1391284639439978</v>
      </c>
      <c r="D26" s="53">
        <v>0.13570526146448603</v>
      </c>
      <c r="E26" s="56">
        <v>0.79615525893493377</v>
      </c>
      <c r="F26" s="59" t="s">
        <v>89</v>
      </c>
      <c r="G26" s="50">
        <v>0.12694261269806395</v>
      </c>
      <c r="H26" s="10"/>
      <c r="I26" s="10"/>
      <c r="J26" s="10"/>
    </row>
    <row r="27" spans="1:10" x14ac:dyDescent="0.3">
      <c r="A27" s="10"/>
      <c r="B27" s="47">
        <v>462</v>
      </c>
      <c r="C27" s="50">
        <v>0.13897264022307509</v>
      </c>
      <c r="D27" s="53">
        <v>0.13570526146448292</v>
      </c>
      <c r="E27" s="56">
        <v>0.7877570495740589</v>
      </c>
      <c r="F27" s="59" t="s">
        <v>89</v>
      </c>
      <c r="G27" s="50">
        <v>0.1267088929426976</v>
      </c>
      <c r="H27" s="10"/>
      <c r="I27" s="10"/>
      <c r="J27" s="10"/>
    </row>
    <row r="28" spans="1:10" x14ac:dyDescent="0.3">
      <c r="A28" s="10"/>
      <c r="B28" s="47">
        <v>483</v>
      </c>
      <c r="C28" s="50">
        <v>0.13883038500676093</v>
      </c>
      <c r="D28" s="53">
        <v>0.13570526146448891</v>
      </c>
      <c r="E28" s="56">
        <v>0.77944742836188641</v>
      </c>
      <c r="F28" s="59" t="s">
        <v>89</v>
      </c>
      <c r="G28" s="50">
        <v>0.12649553897721355</v>
      </c>
      <c r="H28" s="10"/>
      <c r="I28" s="10"/>
      <c r="J28" s="10"/>
    </row>
    <row r="29" spans="1:10" x14ac:dyDescent="0.3">
      <c r="A29" s="10"/>
      <c r="B29" s="47">
        <v>504</v>
      </c>
      <c r="C29" s="62">
        <v>0.13870000000000005</v>
      </c>
      <c r="D29" s="53">
        <v>0.13570526146448603</v>
      </c>
      <c r="E29" s="56">
        <v>0.77122546083015675</v>
      </c>
      <c r="F29" s="63" t="s">
        <v>88</v>
      </c>
      <c r="G29" s="50">
        <v>0.12630000000000008</v>
      </c>
      <c r="H29" s="10"/>
      <c r="I29" s="10"/>
      <c r="J29" s="10"/>
    </row>
    <row r="30" spans="1:10" x14ac:dyDescent="0.3">
      <c r="A30" s="10"/>
      <c r="B30" s="47">
        <v>525</v>
      </c>
      <c r="C30" s="50">
        <v>0.13870000000000005</v>
      </c>
      <c r="D30" s="53">
        <v>0.13869999999999916</v>
      </c>
      <c r="E30" s="56">
        <v>0.7629227788665458</v>
      </c>
      <c r="F30" s="59" t="s">
        <v>89</v>
      </c>
      <c r="G30" s="50">
        <v>0.12633999715914146</v>
      </c>
      <c r="H30" s="10"/>
      <c r="I30" s="10"/>
      <c r="J30" s="10"/>
    </row>
    <row r="31" spans="1:10" x14ac:dyDescent="0.3">
      <c r="A31" s="10"/>
      <c r="B31" s="47">
        <v>546</v>
      </c>
      <c r="C31" s="50">
        <v>0.13870000000000005</v>
      </c>
      <c r="D31" s="53">
        <v>0.13869999999999916</v>
      </c>
      <c r="E31" s="56">
        <v>0.75470948000980831</v>
      </c>
      <c r="F31" s="59" t="s">
        <v>89</v>
      </c>
      <c r="G31" s="50">
        <v>0.12637691887442348</v>
      </c>
      <c r="H31" s="10"/>
      <c r="I31" s="10"/>
      <c r="J31" s="10"/>
    </row>
    <row r="32" spans="1:10" x14ac:dyDescent="0.3">
      <c r="A32" s="10"/>
      <c r="B32" s="47">
        <v>567</v>
      </c>
      <c r="C32" s="50">
        <v>0.13870000000000005</v>
      </c>
      <c r="D32" s="53">
        <v>0.13869999999999916</v>
      </c>
      <c r="E32" s="56">
        <v>0.74658460199981791</v>
      </c>
      <c r="F32" s="59" t="s">
        <v>89</v>
      </c>
      <c r="G32" s="50">
        <v>0.12641110672697775</v>
      </c>
      <c r="H32" s="10"/>
      <c r="I32" s="10"/>
      <c r="J32" s="10"/>
    </row>
    <row r="33" spans="1:10" x14ac:dyDescent="0.3">
      <c r="A33" s="10"/>
      <c r="B33" s="47">
        <v>588</v>
      </c>
      <c r="C33" s="50">
        <v>0.13870000000000005</v>
      </c>
      <c r="D33" s="53">
        <v>0.13869999999999916</v>
      </c>
      <c r="E33" s="56">
        <v>0.73854719293572757</v>
      </c>
      <c r="F33" s="59" t="s">
        <v>89</v>
      </c>
      <c r="G33" s="50">
        <v>0.12644285351920281</v>
      </c>
      <c r="H33" s="10"/>
      <c r="I33" s="10"/>
      <c r="J33" s="10"/>
    </row>
    <row r="34" spans="1:10" x14ac:dyDescent="0.3">
      <c r="A34" s="10"/>
      <c r="B34" s="47">
        <v>609</v>
      </c>
      <c r="C34" s="50">
        <v>0.13870000000000005</v>
      </c>
      <c r="D34" s="53">
        <v>0.13869999999999916</v>
      </c>
      <c r="E34" s="56">
        <v>0.73059631116444568</v>
      </c>
      <c r="F34" s="59" t="s">
        <v>89</v>
      </c>
      <c r="G34" s="50">
        <v>0.12647241168180012</v>
      </c>
      <c r="H34" s="10"/>
      <c r="I34" s="10"/>
      <c r="J34" s="10"/>
    </row>
    <row r="35" spans="1:10" x14ac:dyDescent="0.3">
      <c r="A35" s="10"/>
      <c r="B35" s="48">
        <v>630</v>
      </c>
      <c r="C35" s="64">
        <v>0.13870000000000005</v>
      </c>
      <c r="D35" s="54">
        <v>0.13870000000000227</v>
      </c>
      <c r="E35" s="57">
        <v>0.72273102517031318</v>
      </c>
      <c r="F35" s="65" t="s">
        <v>88</v>
      </c>
      <c r="G35" s="51">
        <v>0.12650000000000006</v>
      </c>
      <c r="H35" s="10"/>
      <c r="I35" s="10"/>
      <c r="J35" s="10"/>
    </row>
    <row r="36" spans="1:10" x14ac:dyDescent="0.3">
      <c r="A36" s="10"/>
      <c r="B36" s="48">
        <v>651</v>
      </c>
      <c r="C36" s="51">
        <v>0.13875805834872823</v>
      </c>
      <c r="D36" s="54">
        <v>0.14050118597902617</v>
      </c>
      <c r="E36" s="57">
        <v>0.71485625225036198</v>
      </c>
      <c r="F36" s="60" t="s">
        <v>89</v>
      </c>
      <c r="G36" s="51">
        <v>0.12665479438955107</v>
      </c>
      <c r="H36" s="10"/>
      <c r="I36" s="10"/>
      <c r="J36" s="10"/>
    </row>
    <row r="37" spans="1:10" x14ac:dyDescent="0.3">
      <c r="A37" s="10"/>
      <c r="B37" s="48">
        <v>672</v>
      </c>
      <c r="C37" s="51">
        <v>0.13881249073911461</v>
      </c>
      <c r="D37" s="54">
        <v>0.14050118597902617</v>
      </c>
      <c r="E37" s="57">
        <v>0.7070672817193786</v>
      </c>
      <c r="F37" s="60" t="s">
        <v>89</v>
      </c>
      <c r="G37" s="51">
        <v>0.12679993344770257</v>
      </c>
      <c r="H37" s="10"/>
      <c r="I37" s="10"/>
      <c r="J37" s="10"/>
    </row>
    <row r="38" spans="1:10" x14ac:dyDescent="0.3">
      <c r="A38" s="10"/>
      <c r="B38" s="48">
        <v>693</v>
      </c>
      <c r="C38" s="51">
        <v>0.13886362656685058</v>
      </c>
      <c r="D38" s="54">
        <v>0.14050118597902617</v>
      </c>
      <c r="E38" s="57">
        <v>0.699363178686919</v>
      </c>
      <c r="F38" s="60" t="s">
        <v>89</v>
      </c>
      <c r="G38" s="51">
        <v>0.12693629323109357</v>
      </c>
      <c r="H38" s="10"/>
      <c r="I38" s="10"/>
      <c r="J38" s="10"/>
    </row>
    <row r="39" spans="1:10" x14ac:dyDescent="0.3">
      <c r="A39" s="10"/>
      <c r="B39" s="48">
        <v>714</v>
      </c>
      <c r="C39" s="51">
        <v>0.13891175650222998</v>
      </c>
      <c r="D39" s="54">
        <v>0.14050118597902905</v>
      </c>
      <c r="E39" s="57">
        <v>0.69174301844897002</v>
      </c>
      <c r="F39" s="60" t="s">
        <v>89</v>
      </c>
      <c r="G39" s="51">
        <v>0.12706464692483666</v>
      </c>
      <c r="H39" s="10"/>
      <c r="I39" s="10"/>
      <c r="J39" s="10"/>
    </row>
    <row r="40" spans="1:10" x14ac:dyDescent="0.3">
      <c r="A40" s="10"/>
      <c r="B40" s="48">
        <v>735</v>
      </c>
      <c r="C40" s="51">
        <v>0.13895713801859788</v>
      </c>
      <c r="D40" s="54">
        <v>0.14050118597902617</v>
      </c>
      <c r="E40" s="57">
        <v>0.68420588637696078</v>
      </c>
      <c r="F40" s="60" t="s">
        <v>89</v>
      </c>
      <c r="G40" s="51">
        <v>0.12718567951156712</v>
      </c>
      <c r="H40" s="10"/>
      <c r="I40" s="10"/>
      <c r="J40" s="10"/>
    </row>
    <row r="41" spans="1:10" x14ac:dyDescent="0.3">
      <c r="A41" s="45"/>
      <c r="B41" s="49">
        <v>756</v>
      </c>
      <c r="C41" s="66">
        <v>0.13900000000000001</v>
      </c>
      <c r="D41" s="55">
        <v>0.14050118597902905</v>
      </c>
      <c r="E41" s="58">
        <v>0.67675087780798038</v>
      </c>
      <c r="F41" s="67" t="s">
        <v>88</v>
      </c>
      <c r="G41" s="52">
        <v>0.12729999999999997</v>
      </c>
      <c r="H41" s="45"/>
      <c r="I41" s="45"/>
      <c r="J41" s="45"/>
    </row>
    <row r="42" spans="1:10" x14ac:dyDescent="0.3">
      <c r="A42" s="45"/>
      <c r="B42" s="49">
        <v>777</v>
      </c>
      <c r="C42" s="52">
        <v>0.1390567506972733</v>
      </c>
      <c r="D42" s="55">
        <v>0.14110166007892189</v>
      </c>
      <c r="E42" s="58">
        <v>0.66934773737758946</v>
      </c>
      <c r="F42" s="61" t="s">
        <v>89</v>
      </c>
      <c r="G42" s="52">
        <v>0.12750802583156795</v>
      </c>
      <c r="H42" s="45"/>
      <c r="I42" s="45"/>
      <c r="J42" s="45"/>
    </row>
    <row r="43" spans="1:10" x14ac:dyDescent="0.3">
      <c r="A43" s="45"/>
      <c r="B43" s="49">
        <v>798</v>
      </c>
      <c r="C43" s="52">
        <v>0.13911051712402966</v>
      </c>
      <c r="D43" s="55">
        <v>0.14110166007892788</v>
      </c>
      <c r="E43" s="58">
        <v>0.66202558167884651</v>
      </c>
      <c r="F43" s="61" t="s">
        <v>89</v>
      </c>
      <c r="G43" s="52">
        <v>0.12770513834554387</v>
      </c>
      <c r="H43" s="45"/>
      <c r="I43" s="45"/>
      <c r="J43" s="45"/>
    </row>
    <row r="44" spans="1:10" x14ac:dyDescent="0.3">
      <c r="A44" s="45"/>
      <c r="B44" s="49">
        <v>819</v>
      </c>
      <c r="C44" s="52">
        <v>0.13916152864415721</v>
      </c>
      <c r="D44" s="55">
        <v>0.141101660078919</v>
      </c>
      <c r="E44" s="58">
        <v>0.65478352480031765</v>
      </c>
      <c r="F44" s="61" t="s">
        <v>89</v>
      </c>
      <c r="G44" s="52">
        <v>0.12789217437943945</v>
      </c>
      <c r="H44" s="45"/>
      <c r="I44" s="45"/>
      <c r="J44" s="45"/>
    </row>
    <row r="45" spans="1:10" x14ac:dyDescent="0.3">
      <c r="A45" s="45"/>
      <c r="B45" s="49">
        <v>840</v>
      </c>
      <c r="C45" s="52">
        <v>0.13920999170419512</v>
      </c>
      <c r="D45" s="55">
        <v>0.14110166007892189</v>
      </c>
      <c r="E45" s="58">
        <v>0.64762069052176574</v>
      </c>
      <c r="F45" s="61" t="s">
        <v>89</v>
      </c>
      <c r="G45" s="52">
        <v>0.12806988734470992</v>
      </c>
      <c r="H45" s="45"/>
      <c r="I45" s="45"/>
      <c r="J45" s="45"/>
    </row>
    <row r="46" spans="1:10" x14ac:dyDescent="0.3">
      <c r="A46" s="45"/>
      <c r="B46" s="49">
        <v>861</v>
      </c>
      <c r="C46" s="52">
        <v>0.13925609262586747</v>
      </c>
      <c r="D46" s="55">
        <v>0.141101660078925</v>
      </c>
      <c r="E46" s="58">
        <v>0.64053621220813739</v>
      </c>
      <c r="F46" s="61" t="s">
        <v>89</v>
      </c>
      <c r="G46" s="52">
        <v>0.12823895737006663</v>
      </c>
      <c r="H46" s="45"/>
      <c r="I46" s="45"/>
      <c r="J46" s="45"/>
    </row>
    <row r="47" spans="1:10" x14ac:dyDescent="0.3">
      <c r="A47" s="45"/>
      <c r="B47" s="49">
        <v>882</v>
      </c>
      <c r="C47" s="66">
        <v>0.13929999999999998</v>
      </c>
      <c r="D47" s="55">
        <v>0.141101660078925</v>
      </c>
      <c r="E47" s="58">
        <v>0.63352923270470896</v>
      </c>
      <c r="F47" s="67" t="s">
        <v>88</v>
      </c>
      <c r="G47" s="52">
        <v>0.12840000000000007</v>
      </c>
      <c r="H47" s="45"/>
      <c r="I47" s="45"/>
      <c r="J47" s="45"/>
    </row>
    <row r="48" spans="1:10" x14ac:dyDescent="0.3">
      <c r="A48" s="45"/>
      <c r="B48" s="49">
        <v>903</v>
      </c>
      <c r="C48" s="52">
        <v>0.13933720664425242</v>
      </c>
      <c r="D48" s="55">
        <v>0.14090098340499435</v>
      </c>
      <c r="E48" s="58">
        <v>0.62660808803122603</v>
      </c>
      <c r="F48" s="61" t="s">
        <v>89</v>
      </c>
      <c r="G48" s="52">
        <v>0.12860457001858205</v>
      </c>
      <c r="H48" s="45"/>
      <c r="I48" s="45"/>
      <c r="J48" s="45"/>
    </row>
    <row r="49" spans="1:10" x14ac:dyDescent="0.3">
      <c r="A49" s="45"/>
      <c r="B49" s="49">
        <v>924</v>
      </c>
      <c r="C49" s="52">
        <v>0.13937272321088567</v>
      </c>
      <c r="D49" s="55">
        <v>0.14090098340499435</v>
      </c>
      <c r="E49" s="58">
        <v>0.6197625550913749</v>
      </c>
      <c r="F49" s="61" t="s">
        <v>89</v>
      </c>
      <c r="G49" s="52">
        <v>0.12879987599644971</v>
      </c>
      <c r="H49" s="45"/>
      <c r="I49" s="45"/>
      <c r="J49" s="45"/>
    </row>
    <row r="50" spans="1:10" x14ac:dyDescent="0.3">
      <c r="A50" s="45"/>
      <c r="B50" s="49">
        <v>945</v>
      </c>
      <c r="C50" s="52">
        <v>0.13940666229788712</v>
      </c>
      <c r="D50" s="55">
        <v>0.14090098340500057</v>
      </c>
      <c r="E50" s="58">
        <v>0.61299180784632334</v>
      </c>
      <c r="F50" s="61" t="s">
        <v>89</v>
      </c>
      <c r="G50" s="52">
        <v>0.12898653328660825</v>
      </c>
      <c r="H50" s="45"/>
      <c r="I50" s="45"/>
      <c r="J50" s="45"/>
    </row>
    <row r="51" spans="1:10" x14ac:dyDescent="0.3">
      <c r="A51" s="45"/>
      <c r="B51" s="49">
        <v>966</v>
      </c>
      <c r="C51" s="52">
        <v>0.13943912671839409</v>
      </c>
      <c r="D51" s="55">
        <v>0.14090098340498836</v>
      </c>
      <c r="E51" s="58">
        <v>0.6062950292815027</v>
      </c>
      <c r="F51" s="61" t="s">
        <v>89</v>
      </c>
      <c r="G51" s="52">
        <v>0.12916510392402514</v>
      </c>
      <c r="H51" s="45"/>
      <c r="I51" s="45"/>
      <c r="J51" s="45"/>
    </row>
    <row r="52" spans="1:10" x14ac:dyDescent="0.3">
      <c r="A52" s="45"/>
      <c r="B52" s="49">
        <v>987</v>
      </c>
      <c r="C52" s="52">
        <v>0.13947021054098308</v>
      </c>
      <c r="D52" s="55">
        <v>0.14090098340499746</v>
      </c>
      <c r="E52" s="58">
        <v>0.59967141130801793</v>
      </c>
      <c r="F52" s="61" t="s">
        <v>89</v>
      </c>
      <c r="G52" s="52">
        <v>0.12933610227793046</v>
      </c>
      <c r="H52" s="45"/>
      <c r="I52" s="45"/>
      <c r="J52" s="45"/>
    </row>
    <row r="53" spans="1:10" x14ac:dyDescent="0.3">
      <c r="A53" s="45"/>
      <c r="B53" s="49">
        <v>1008</v>
      </c>
      <c r="C53" s="66">
        <v>0.13949999999999996</v>
      </c>
      <c r="D53" s="55">
        <v>0.14090098340499146</v>
      </c>
      <c r="E53" s="58">
        <v>0.59312015466513934</v>
      </c>
      <c r="F53" s="67" t="s">
        <v>88</v>
      </c>
      <c r="G53" s="52">
        <v>0.12949999999999995</v>
      </c>
      <c r="H53" s="45"/>
      <c r="I53" s="45"/>
      <c r="J53" s="45"/>
    </row>
    <row r="54" spans="1:10" x14ac:dyDescent="0.3">
      <c r="A54" s="45"/>
      <c r="B54" s="49">
        <v>1029</v>
      </c>
      <c r="C54" s="52">
        <v>0.13955509612057626</v>
      </c>
      <c r="D54" s="55">
        <v>0.14220284509971637</v>
      </c>
      <c r="E54" s="58">
        <v>0.58658471953067404</v>
      </c>
      <c r="F54" s="61" t="s">
        <v>89</v>
      </c>
      <c r="G54" s="52">
        <v>0.1296652523859112</v>
      </c>
      <c r="H54" s="45"/>
      <c r="I54" s="45"/>
      <c r="J54" s="45"/>
    </row>
    <row r="55" spans="1:10" x14ac:dyDescent="0.3">
      <c r="A55" s="45"/>
      <c r="B55" s="49">
        <v>1050</v>
      </c>
      <c r="C55" s="52">
        <v>0.1396079909025818</v>
      </c>
      <c r="D55" s="55">
        <v>0.14220284509973147</v>
      </c>
      <c r="E55" s="58">
        <v>0.58012129663868683</v>
      </c>
      <c r="F55" s="61" t="s">
        <v>89</v>
      </c>
      <c r="G55" s="52">
        <v>0.12982391742242094</v>
      </c>
      <c r="H55" s="45"/>
      <c r="I55" s="45"/>
      <c r="J55" s="45"/>
    </row>
    <row r="56" spans="1:10" x14ac:dyDescent="0.3">
      <c r="A56" s="45"/>
      <c r="B56" s="49">
        <v>1071</v>
      </c>
      <c r="C56" s="52">
        <v>0.13965881369209177</v>
      </c>
      <c r="D56" s="55">
        <v>0.14220284509971348</v>
      </c>
      <c r="E56" s="58">
        <v>0.57372909250520143</v>
      </c>
      <c r="F56" s="61" t="s">
        <v>89</v>
      </c>
      <c r="G56" s="52">
        <v>0.12997638129185418</v>
      </c>
      <c r="H56" s="45"/>
      <c r="I56" s="45"/>
      <c r="J56" s="45"/>
    </row>
    <row r="57" spans="1:10" x14ac:dyDescent="0.3">
      <c r="A57" s="45"/>
      <c r="B57" s="49">
        <v>1092</v>
      </c>
      <c r="C57" s="52">
        <v>0.13970768389637245</v>
      </c>
      <c r="D57" s="55">
        <v>0.14220284509972236</v>
      </c>
      <c r="E57" s="58">
        <v>0.56740732238943037</v>
      </c>
      <c r="F57" s="61" t="s">
        <v>89</v>
      </c>
      <c r="G57" s="52">
        <v>0.13012300056872683</v>
      </c>
      <c r="H57" s="45"/>
      <c r="I57" s="45"/>
      <c r="J57" s="45"/>
    </row>
    <row r="58" spans="1:10" x14ac:dyDescent="0.3">
      <c r="A58" s="45"/>
      <c r="B58" s="49">
        <v>1113</v>
      </c>
      <c r="C58" s="52">
        <v>0.13975471192049627</v>
      </c>
      <c r="D58" s="55">
        <v>0.14220284509972547</v>
      </c>
      <c r="E58" s="58">
        <v>0.5611552101974403</v>
      </c>
      <c r="F58" s="61" t="s">
        <v>89</v>
      </c>
      <c r="G58" s="52">
        <v>0.13026410500383712</v>
      </c>
      <c r="H58" s="45"/>
      <c r="I58" s="45"/>
      <c r="J58" s="45"/>
    </row>
    <row r="59" spans="1:10" x14ac:dyDescent="0.3">
      <c r="A59" s="45"/>
      <c r="B59" s="49">
        <v>1134</v>
      </c>
      <c r="C59" s="66">
        <v>0.13979999999999992</v>
      </c>
      <c r="D59" s="55">
        <v>0.14220284509971948</v>
      </c>
      <c r="E59" s="58">
        <v>0.55497198838687267</v>
      </c>
      <c r="F59" s="67" t="s">
        <v>88</v>
      </c>
      <c r="G59" s="52">
        <v>0.13040000000000007</v>
      </c>
      <c r="H59" s="45"/>
      <c r="I59" s="45"/>
      <c r="J59" s="45"/>
    </row>
    <row r="60" spans="1:10" x14ac:dyDescent="0.3">
      <c r="A60" s="45"/>
      <c r="B60" s="49">
        <v>1155</v>
      </c>
      <c r="C60" s="52">
        <v>0.1398545395823334</v>
      </c>
      <c r="D60" s="55">
        <v>0.14280355575005643</v>
      </c>
      <c r="E60" s="58">
        <v>0.54883285002113769</v>
      </c>
      <c r="F60" s="61" t="s">
        <v>89</v>
      </c>
      <c r="G60" s="52">
        <v>0.13056358309145089</v>
      </c>
      <c r="H60" s="45"/>
      <c r="I60" s="45"/>
      <c r="J60" s="45"/>
    </row>
    <row r="61" spans="1:10" x14ac:dyDescent="0.3">
      <c r="A61" s="45"/>
      <c r="B61" s="49">
        <v>1176</v>
      </c>
      <c r="C61" s="52">
        <v>0.1399071337940232</v>
      </c>
      <c r="D61" s="55">
        <v>0.14280355575005954</v>
      </c>
      <c r="E61" s="58">
        <v>0.54276162322690935</v>
      </c>
      <c r="F61" s="61" t="s">
        <v>89</v>
      </c>
      <c r="G61" s="52">
        <v>0.13072134634905286</v>
      </c>
      <c r="H61" s="45"/>
      <c r="I61" s="45"/>
      <c r="J61" s="45"/>
    </row>
    <row r="62" spans="1:10" x14ac:dyDescent="0.3">
      <c r="A62" s="45"/>
      <c r="B62" s="49">
        <v>1197</v>
      </c>
      <c r="C62" s="52">
        <v>0.13995788489530292</v>
      </c>
      <c r="D62" s="55">
        <v>0.14280355575005355</v>
      </c>
      <c r="E62" s="58">
        <v>0.53675755676170589</v>
      </c>
      <c r="F62" s="61" t="s">
        <v>89</v>
      </c>
      <c r="G62" s="52">
        <v>0.13087359492349626</v>
      </c>
      <c r="H62" s="45"/>
      <c r="I62" s="45"/>
      <c r="J62" s="45"/>
    </row>
    <row r="63" spans="1:10" x14ac:dyDescent="0.3">
      <c r="A63" s="45"/>
      <c r="B63" s="49">
        <v>1218</v>
      </c>
      <c r="C63" s="52">
        <v>0.14000688810262418</v>
      </c>
      <c r="D63" s="55">
        <v>0.14280355575005954</v>
      </c>
      <c r="E63" s="58">
        <v>0.53081990769334064</v>
      </c>
      <c r="F63" s="61" t="s">
        <v>89</v>
      </c>
      <c r="G63" s="52">
        <v>0.13102061299877632</v>
      </c>
      <c r="H63" s="45"/>
      <c r="I63" s="45"/>
      <c r="J63" s="45"/>
    </row>
    <row r="64" spans="1:10" x14ac:dyDescent="0.3">
      <c r="A64" s="45"/>
      <c r="B64" s="45"/>
      <c r="C64" s="45"/>
      <c r="D64" s="45"/>
      <c r="E64" s="45"/>
      <c r="F64" s="45"/>
      <c r="G64" s="45"/>
      <c r="H64" s="45"/>
      <c r="I64" s="45"/>
      <c r="J64" s="45"/>
    </row>
    <row r="65" spans="1:10" x14ac:dyDescent="0.3">
      <c r="A65" s="45"/>
      <c r="B65" s="45"/>
      <c r="C65" s="45"/>
      <c r="D65" s="45"/>
      <c r="E65" s="45"/>
      <c r="F65" s="45"/>
      <c r="G65" s="45"/>
      <c r="H65" s="45"/>
      <c r="I65" s="45"/>
      <c r="J65" s="45"/>
    </row>
    <row r="66" spans="1:10" x14ac:dyDescent="0.3">
      <c r="A66" s="45"/>
      <c r="B66" s="45"/>
      <c r="C66" s="45"/>
      <c r="D66" s="45"/>
      <c r="E66" s="45"/>
      <c r="F66" s="45"/>
      <c r="G66" s="45"/>
      <c r="H66" s="45"/>
      <c r="I66" s="45"/>
      <c r="J66" s="45"/>
    </row>
    <row r="67" spans="1:10" x14ac:dyDescent="0.3">
      <c r="A67" s="45"/>
      <c r="B67" s="45"/>
      <c r="C67" s="45"/>
      <c r="D67" s="45"/>
      <c r="E67" s="45"/>
      <c r="F67" s="45"/>
      <c r="G67" s="45"/>
      <c r="H67" s="45"/>
      <c r="I67" s="45"/>
      <c r="J67" s="45"/>
    </row>
  </sheetData>
  <mergeCells count="2">
    <mergeCell ref="B2:G2"/>
    <mergeCell ref="B3:G3"/>
  </mergeCell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39C12"/>
  </sheetPr>
  <dimension ref="A1:J30"/>
  <sheetViews>
    <sheetView showGridLines="0" zoomScaleNormal="100" workbookViewId="0"/>
  </sheetViews>
  <sheetFormatPr defaultColWidth="8.6640625" defaultRowHeight="14.4" x14ac:dyDescent="0.3"/>
  <cols>
    <col min="1" max="1" width="3" customWidth="1"/>
    <col min="2" max="2" width="16" customWidth="1"/>
    <col min="3" max="5" width="20" customWidth="1"/>
    <col min="6" max="6" width="16" customWidth="1"/>
    <col min="7" max="7" width="3" customWidth="1"/>
    <col min="8" max="8" width="52.77734375" customWidth="1"/>
  </cols>
  <sheetData>
    <row r="1" spans="1:10" x14ac:dyDescent="0.3">
      <c r="A1" s="10"/>
      <c r="B1" s="10"/>
      <c r="C1" s="10"/>
      <c r="D1" s="10"/>
      <c r="E1" s="10"/>
      <c r="F1" s="10"/>
      <c r="G1" s="10"/>
      <c r="H1" s="10"/>
      <c r="I1" s="10"/>
      <c r="J1" s="10"/>
    </row>
    <row r="2" spans="1:10" ht="22.8" x14ac:dyDescent="0.3">
      <c r="A2" s="10"/>
      <c r="B2" s="9" t="s">
        <v>90</v>
      </c>
      <c r="C2" s="9"/>
      <c r="D2" s="9"/>
      <c r="E2" s="9"/>
      <c r="F2" s="9"/>
      <c r="G2" s="9"/>
      <c r="H2" s="9"/>
      <c r="I2" s="10"/>
      <c r="J2" s="10"/>
    </row>
    <row r="3" spans="1:10" x14ac:dyDescent="0.3">
      <c r="A3" s="10"/>
      <c r="B3" s="2" t="s">
        <v>174</v>
      </c>
      <c r="C3" s="2"/>
      <c r="D3" s="2"/>
      <c r="E3" s="2"/>
      <c r="F3" s="2"/>
      <c r="G3" s="2"/>
      <c r="H3" s="2"/>
      <c r="I3" s="10"/>
      <c r="J3" s="10"/>
    </row>
    <row r="4" spans="1:10" x14ac:dyDescent="0.3">
      <c r="A4" s="10"/>
      <c r="B4" s="10"/>
      <c r="C4" s="10"/>
      <c r="D4" s="10"/>
      <c r="E4" s="10"/>
      <c r="F4" s="10"/>
      <c r="G4" s="10"/>
      <c r="H4" s="10"/>
      <c r="I4" s="10"/>
      <c r="J4" s="10"/>
    </row>
    <row r="5" spans="1:10" x14ac:dyDescent="0.3">
      <c r="A5" s="10"/>
      <c r="B5" s="36" t="s">
        <v>86</v>
      </c>
      <c r="C5" s="36" t="s">
        <v>91</v>
      </c>
      <c r="D5" s="36" t="s">
        <v>92</v>
      </c>
      <c r="E5" s="36" t="s">
        <v>93</v>
      </c>
      <c r="F5" s="36" t="s">
        <v>94</v>
      </c>
      <c r="G5" s="10"/>
      <c r="H5" s="27" t="s">
        <v>95</v>
      </c>
      <c r="I5" s="12"/>
      <c r="J5" s="10"/>
    </row>
    <row r="6" spans="1:10" ht="21" x14ac:dyDescent="0.4">
      <c r="A6" s="10"/>
      <c r="B6" s="47">
        <v>21</v>
      </c>
      <c r="C6" s="68">
        <v>0.1464</v>
      </c>
      <c r="D6" s="68">
        <v>0.14849999999999999</v>
      </c>
      <c r="E6" s="69">
        <f>(C6-D6)*10000</f>
        <v>-20.999999999999908</v>
      </c>
      <c r="F6" s="70" t="s">
        <v>175</v>
      </c>
      <c r="G6" s="10"/>
      <c r="H6" s="42">
        <f>AVERAGE(E6:E14)</f>
        <v>54.666666666666728</v>
      </c>
      <c r="I6" s="12"/>
      <c r="J6" s="10"/>
    </row>
    <row r="7" spans="1:10" x14ac:dyDescent="0.3">
      <c r="A7" s="10"/>
      <c r="B7" s="47">
        <v>42</v>
      </c>
      <c r="C7" s="68">
        <v>0.14550000000000002</v>
      </c>
      <c r="D7" s="68">
        <v>0.1474</v>
      </c>
      <c r="E7" s="69">
        <f>(C7-D7)*10000</f>
        <v>-18.999999999999851</v>
      </c>
      <c r="F7" s="70" t="s">
        <v>175</v>
      </c>
      <c r="G7" s="10"/>
      <c r="H7" s="15" t="s">
        <v>96</v>
      </c>
      <c r="I7" s="12"/>
      <c r="J7" s="10"/>
    </row>
    <row r="8" spans="1:10" x14ac:dyDescent="0.3">
      <c r="A8" s="10"/>
      <c r="B8" s="47">
        <v>63</v>
      </c>
      <c r="C8" s="68">
        <v>0.14480000000000001</v>
      </c>
      <c r="D8" s="68">
        <v>0.14599999999999999</v>
      </c>
      <c r="E8" s="69">
        <f>(C8-D8)*10000</f>
        <v>-11.999999999999789</v>
      </c>
      <c r="F8" s="70" t="s">
        <v>175</v>
      </c>
      <c r="G8" s="10"/>
      <c r="H8" s="27" t="s">
        <v>97</v>
      </c>
      <c r="I8" s="12"/>
      <c r="J8" s="10"/>
    </row>
    <row r="9" spans="1:10" ht="21" x14ac:dyDescent="0.4">
      <c r="A9" s="10"/>
      <c r="B9" s="47">
        <v>126</v>
      </c>
      <c r="C9" s="68">
        <v>0.1431</v>
      </c>
      <c r="D9" s="68">
        <v>0.14069999999999999</v>
      </c>
      <c r="E9" s="69">
        <f>(C9-D9)*10000</f>
        <v>24.000000000000131</v>
      </c>
      <c r="F9" s="70" t="s">
        <v>176</v>
      </c>
      <c r="G9" s="10"/>
      <c r="H9" s="43" t="str">
        <f>IF(ABS(E14-E6)&gt;10,IF(E14&gt;E6,"Steepening","Flattening"),"Paralelo")</f>
        <v>Steepening</v>
      </c>
      <c r="I9" s="12"/>
      <c r="J9" s="10"/>
    </row>
    <row r="10" spans="1:10" x14ac:dyDescent="0.3">
      <c r="A10" s="10"/>
      <c r="B10" s="47">
        <v>252</v>
      </c>
      <c r="C10" s="68">
        <v>0.1411</v>
      </c>
      <c r="D10" s="68">
        <v>0.13200000000000001</v>
      </c>
      <c r="E10" s="69">
        <f>(C10-D10)*10000</f>
        <v>90.999999999999972</v>
      </c>
      <c r="F10" s="70" t="s">
        <v>176</v>
      </c>
      <c r="G10" s="10"/>
      <c r="H10" s="15" t="str">
        <f>CONCATENATE("Longo: ",TEXT(E14,"+0;-0")," bps | Curto: ",TEXT(E6,"+0;-0")," bps")</f>
        <v>Longo: +88 bps | Curto: -21 bps</v>
      </c>
      <c r="I10" s="12"/>
      <c r="J10" s="10"/>
    </row>
    <row r="11" spans="1:10" x14ac:dyDescent="0.3">
      <c r="A11" s="10"/>
      <c r="B11" s="47">
        <v>504</v>
      </c>
      <c r="C11" s="68">
        <v>0.13869999999999999</v>
      </c>
      <c r="D11" s="68">
        <v>0.1263</v>
      </c>
      <c r="E11" s="69">
        <f>(C11-D11)*10000</f>
        <v>123.99999999999994</v>
      </c>
      <c r="F11" s="70" t="s">
        <v>176</v>
      </c>
      <c r="G11" s="10"/>
      <c r="H11" s="10"/>
      <c r="I11" s="10"/>
      <c r="J11" s="10"/>
    </row>
    <row r="12" spans="1:10" x14ac:dyDescent="0.3">
      <c r="A12" s="10"/>
      <c r="B12" s="47">
        <v>756</v>
      </c>
      <c r="C12" s="68">
        <v>0.13900000000000001</v>
      </c>
      <c r="D12" s="68">
        <v>0.1273</v>
      </c>
      <c r="E12" s="69">
        <f>(C12-D12)*10000</f>
        <v>117.00000000000016</v>
      </c>
      <c r="F12" s="70" t="s">
        <v>176</v>
      </c>
      <c r="G12" s="10"/>
      <c r="H12" s="10"/>
      <c r="I12" s="10"/>
      <c r="J12" s="10"/>
    </row>
    <row r="13" spans="1:10" x14ac:dyDescent="0.3">
      <c r="A13" s="10"/>
      <c r="B13" s="47">
        <v>1008</v>
      </c>
      <c r="C13" s="68">
        <v>0.13949999999999999</v>
      </c>
      <c r="D13" s="68">
        <v>0.1295</v>
      </c>
      <c r="E13" s="69">
        <f>(C13-D13)*10000</f>
        <v>99.999999999999815</v>
      </c>
      <c r="F13" s="70" t="s">
        <v>176</v>
      </c>
      <c r="G13" s="10"/>
      <c r="H13" s="10"/>
      <c r="I13" s="10"/>
      <c r="J13" s="10"/>
    </row>
    <row r="14" spans="1:10" ht="96.6" x14ac:dyDescent="0.3">
      <c r="A14" s="10"/>
      <c r="B14" s="47">
        <v>1260</v>
      </c>
      <c r="C14" s="68">
        <v>0.1401</v>
      </c>
      <c r="D14" s="68">
        <v>0.1313</v>
      </c>
      <c r="E14" s="69">
        <f>(C14-D14)*10000</f>
        <v>88.000000000000028</v>
      </c>
      <c r="F14" s="70" t="s">
        <v>176</v>
      </c>
      <c r="G14" s="10"/>
      <c r="H14" s="46" t="s">
        <v>173</v>
      </c>
      <c r="I14" s="10"/>
      <c r="J14" s="10"/>
    </row>
    <row r="15" spans="1:10" x14ac:dyDescent="0.3">
      <c r="A15" s="10"/>
      <c r="B15" s="37"/>
      <c r="C15" s="38"/>
      <c r="D15" s="39"/>
      <c r="E15" s="40"/>
      <c r="F15" s="41"/>
      <c r="G15" s="10"/>
      <c r="H15" s="10"/>
      <c r="I15" s="10"/>
      <c r="J15" s="10"/>
    </row>
    <row r="16" spans="1:10" x14ac:dyDescent="0.3">
      <c r="A16" s="10"/>
      <c r="B16" s="72" t="s">
        <v>98</v>
      </c>
      <c r="C16" s="73"/>
      <c r="D16" s="73"/>
      <c r="E16" s="71">
        <f>AVERAGE(E6:E14)</f>
        <v>54.666666666666728</v>
      </c>
      <c r="F16" s="41"/>
      <c r="G16" s="10"/>
      <c r="H16" s="10"/>
      <c r="I16" s="10"/>
      <c r="J16" s="10"/>
    </row>
    <row r="17" spans="1:10" x14ac:dyDescent="0.3">
      <c r="A17" s="10"/>
      <c r="B17" s="10"/>
      <c r="C17" s="10"/>
      <c r="D17" s="10"/>
      <c r="E17" s="10"/>
      <c r="F17" s="10"/>
      <c r="G17" s="10"/>
      <c r="H17" s="10"/>
      <c r="I17" s="10"/>
      <c r="J17" s="10"/>
    </row>
    <row r="18" spans="1:10" x14ac:dyDescent="0.3">
      <c r="A18" s="10"/>
      <c r="B18" s="1"/>
      <c r="C18" s="1"/>
      <c r="D18" s="1"/>
      <c r="E18" s="44"/>
      <c r="F18" s="10"/>
      <c r="G18" s="10"/>
      <c r="H18" s="10"/>
      <c r="I18" s="10"/>
      <c r="J18" s="10"/>
    </row>
    <row r="19" spans="1:10" x14ac:dyDescent="0.3">
      <c r="A19" s="10"/>
      <c r="B19" s="10"/>
      <c r="C19" s="10"/>
      <c r="D19" s="10"/>
      <c r="E19" s="10"/>
      <c r="F19" s="10"/>
      <c r="G19" s="10"/>
      <c r="H19" s="10"/>
      <c r="I19" s="10"/>
      <c r="J19" s="10"/>
    </row>
    <row r="20" spans="1:10" x14ac:dyDescent="0.3">
      <c r="A20" s="10"/>
      <c r="B20" s="10"/>
      <c r="C20" s="10"/>
      <c r="D20" s="10"/>
      <c r="E20" s="10"/>
      <c r="F20" s="10"/>
      <c r="G20" s="10"/>
      <c r="H20" s="10"/>
      <c r="I20" s="10"/>
      <c r="J20" s="10"/>
    </row>
    <row r="21" spans="1:10" x14ac:dyDescent="0.3">
      <c r="A21" s="10"/>
      <c r="B21" s="10"/>
      <c r="C21" s="10"/>
      <c r="D21" s="10"/>
      <c r="E21" s="10"/>
      <c r="F21" s="10"/>
      <c r="G21" s="10"/>
      <c r="H21" s="10"/>
      <c r="I21" s="10"/>
      <c r="J21" s="10"/>
    </row>
    <row r="22" spans="1:10" x14ac:dyDescent="0.3">
      <c r="A22" s="10"/>
      <c r="B22" s="10"/>
      <c r="C22" s="10"/>
      <c r="D22" s="10"/>
      <c r="E22" s="10"/>
      <c r="F22" s="10"/>
      <c r="G22" s="10"/>
      <c r="H22" s="10"/>
      <c r="I22" s="10"/>
      <c r="J22" s="10"/>
    </row>
    <row r="23" spans="1:10" x14ac:dyDescent="0.3">
      <c r="A23" s="10"/>
      <c r="B23" s="10"/>
      <c r="C23" s="10"/>
      <c r="D23" s="10"/>
      <c r="E23" s="10"/>
      <c r="F23" s="10"/>
      <c r="G23" s="10"/>
      <c r="H23" s="10"/>
      <c r="I23" s="10"/>
      <c r="J23" s="10"/>
    </row>
    <row r="24" spans="1:10" x14ac:dyDescent="0.3">
      <c r="A24" s="10"/>
      <c r="B24" s="10"/>
      <c r="C24" s="10"/>
      <c r="D24" s="10"/>
      <c r="E24" s="10"/>
      <c r="F24" s="10"/>
      <c r="G24" s="10"/>
      <c r="H24" s="10"/>
      <c r="I24" s="10"/>
      <c r="J24" s="10"/>
    </row>
    <row r="25" spans="1:10" x14ac:dyDescent="0.3">
      <c r="A25" s="10"/>
      <c r="B25" s="10"/>
      <c r="C25" s="10"/>
      <c r="D25" s="10"/>
      <c r="E25" s="10"/>
      <c r="F25" s="10"/>
      <c r="G25" s="10"/>
      <c r="H25" s="10"/>
      <c r="I25" s="10"/>
      <c r="J25" s="10"/>
    </row>
    <row r="26" spans="1:10" x14ac:dyDescent="0.3">
      <c r="A26" s="10"/>
      <c r="B26" s="10"/>
      <c r="C26" s="10"/>
      <c r="D26" s="10"/>
      <c r="E26" s="10"/>
      <c r="F26" s="10"/>
      <c r="G26" s="10"/>
      <c r="H26" s="10"/>
      <c r="I26" s="10"/>
      <c r="J26" s="10"/>
    </row>
    <row r="27" spans="1:10" x14ac:dyDescent="0.3">
      <c r="A27" s="10"/>
      <c r="B27" s="10"/>
      <c r="C27" s="10"/>
      <c r="D27" s="10"/>
      <c r="E27" s="10"/>
      <c r="F27" s="10"/>
      <c r="G27" s="10"/>
      <c r="H27" s="10"/>
      <c r="I27" s="10"/>
      <c r="J27" s="10"/>
    </row>
    <row r="28" spans="1:10" x14ac:dyDescent="0.3">
      <c r="A28" s="10"/>
      <c r="B28" s="10"/>
      <c r="C28" s="10"/>
      <c r="D28" s="10"/>
      <c r="E28" s="10"/>
      <c r="F28" s="10"/>
      <c r="G28" s="10"/>
      <c r="H28" s="10"/>
      <c r="I28" s="10"/>
      <c r="J28" s="10"/>
    </row>
    <row r="29" spans="1:10" x14ac:dyDescent="0.3">
      <c r="A29" s="10"/>
      <c r="B29" s="10"/>
      <c r="C29" s="10"/>
      <c r="D29" s="10"/>
      <c r="E29" s="10"/>
      <c r="F29" s="10"/>
      <c r="G29" s="10"/>
      <c r="H29" s="10"/>
      <c r="I29" s="10"/>
      <c r="J29" s="10"/>
    </row>
    <row r="30" spans="1:10" x14ac:dyDescent="0.3">
      <c r="A30" s="10"/>
      <c r="B30" s="10"/>
      <c r="C30" s="10"/>
      <c r="D30" s="10"/>
      <c r="E30" s="10"/>
      <c r="F30" s="10"/>
      <c r="G30" s="10"/>
      <c r="H30" s="10"/>
      <c r="I30" s="10"/>
      <c r="J30" s="10"/>
    </row>
  </sheetData>
  <mergeCells count="3">
    <mergeCell ref="B2:H2"/>
    <mergeCell ref="B3:H3"/>
    <mergeCell ref="B18:D18"/>
  </mergeCells>
  <conditionalFormatting sqref="E6:E14">
    <cfRule type="cellIs" dxfId="1" priority="1" stopIfTrue="1" operator="greaterThan">
      <formula>0</formula>
    </cfRule>
    <cfRule type="cellIs" dxfId="0" priority="2" stopIfTrue="1" operator="lessThan">
      <formula>0</formula>
    </cfRule>
  </conditionalFormatting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Dashboard</vt:lpstr>
      <vt:lpstr>Aux</vt:lpstr>
      <vt:lpstr>Vértices</vt:lpstr>
      <vt:lpstr>Movimentos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Murilo Mendes</cp:lastModifiedBy>
  <cp:revision>1</cp:revision>
  <dcterms:created xsi:type="dcterms:W3CDTF">2026-03-23T19:35:02Z</dcterms:created>
  <dcterms:modified xsi:type="dcterms:W3CDTF">2026-03-25T16:02:47Z</dcterms:modified>
  <dc:language>en-US</dc:language>
</cp:coreProperties>
</file>